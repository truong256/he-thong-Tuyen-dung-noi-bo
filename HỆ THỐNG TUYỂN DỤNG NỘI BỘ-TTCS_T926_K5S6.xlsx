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SUS\Downloads\"/>
    </mc:Choice>
  </mc:AlternateContent>
  <xr:revisionPtr revIDLastSave="0" documentId="13_ncr:1_{F19BCD77-FD8C-4E5D-80CB-DA3E209136C7}" xr6:coauthVersionLast="47" xr6:coauthVersionMax="47" xr10:uidLastSave="{00000000-0000-0000-0000-000000000000}"/>
  <bookViews>
    <workbookView xWindow="-120" yWindow="-120" windowWidth="29040" windowHeight="15720" xr2:uid="{00000000-000D-0000-FFFF-FFFF00000000}"/>
  </bookViews>
  <sheets>
    <sheet name="1. Product Overview" sheetId="1" r:id="rId1"/>
    <sheet name="2. User Roles" sheetId="2" r:id="rId2"/>
    <sheet name="3. Epics" sheetId="3" r:id="rId3"/>
    <sheet name="4. Product Backlog" sheetId="4" r:id="rId4"/>
    <sheet name="5. Sprint Plan" sheetId="5" r:id="rId5"/>
  </sheets>
  <definedNames>
    <definedName name="_xlnm._FilterDatabase" localSheetId="3" hidden="1">'4. Product Backlog'!$A$4:$J$96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2" i="5" l="1"/>
  <c r="D12" i="5"/>
  <c r="G97" i="4"/>
  <c r="G13" i="3"/>
  <c r="D13" i="3"/>
</calcChain>
</file>

<file path=xl/sharedStrings.xml><?xml version="1.0" encoding="utf-8"?>
<sst xmlns="http://schemas.openxmlformats.org/spreadsheetml/2006/main" count="936" uniqueCount="554">
  <si>
    <t>HỆ THỐNG TUYỂN DỤNG NỘI BỘ</t>
  </si>
  <si>
    <t>THÔNG SỐ DỰ ÁN</t>
  </si>
  <si>
    <t>Thông số</t>
  </si>
  <si>
    <t>Giá trị</t>
  </si>
  <si>
    <t>Ghi chú</t>
  </si>
  <si>
    <t>Thời gian</t>
  </si>
  <si>
    <t>Không có Sprint 0 riêng; công việc setup nằm trong Sprint 1</t>
  </si>
  <si>
    <t>Số sprint</t>
  </si>
  <si>
    <t>Nhịp ngắn, cần chẻ nhỏ story 8 point thành API + UI</t>
  </si>
  <si>
    <t>Velocity mục tiêu</t>
  </si>
  <si>
    <t>42 – 45 point / sprint</t>
  </si>
  <si>
    <t>Là mục tiêu, không phải dự báo — hiệu chỉnh lại sau Sprint 2</t>
  </si>
  <si>
    <t>Tổng story point</t>
  </si>
  <si>
    <t>350 point</t>
  </si>
  <si>
    <t>42 + 45 + 44 + 45 + 45 + 43 + 42 + 44</t>
  </si>
  <si>
    <t>Số user story</t>
  </si>
  <si>
    <t>76 story</t>
  </si>
  <si>
    <t>Trung bình 9.5 story / sprint</t>
  </si>
  <si>
    <t>Số epic</t>
  </si>
  <si>
    <t>9 epic</t>
  </si>
  <si>
    <t>Đội ngũ</t>
  </si>
  <si>
    <t>40 giờ/tuần/người</t>
  </si>
  <si>
    <t>Quy đổi point</t>
  </si>
  <si>
    <t>1 point ≈ 4 giờ công</t>
  </si>
  <si>
    <t>~170 giờ hữu ích/tuần sau khi trừ họp và code review</t>
  </si>
  <si>
    <t>VẤN ĐỀ NGHIỆP VỤ</t>
  </si>
  <si>
    <t>Bộ phận nhân sự đang tuyển dụng bằng Excel, Gmail và Google Drive. Yêu cầu tuyển dụng được duyệt qua email hoặc chat, CV nằm rải rác trong hộp thư của từng recruiter, lịch phỏng vấn hẹn tay qua điện thoại, và nhận xét sau phỏng vấn thì mỗi người ghi một kiểu.</t>
  </si>
  <si>
    <t>#</t>
  </si>
  <si>
    <t>Hệ quả trực tiếp</t>
  </si>
  <si>
    <t>Không ai biết một vị trí đang tắc ở đâu. Trưởng bộ phận hỏi 'tuyển tới đâu rồi' thì recruiter phải mở lại hộp thư để dựng lại tiến độ.</t>
  </si>
  <si>
    <t>Yêu cầu tuyển dụng duyệt bằng miệng. Không có bằng chứng ai đã duyệt headcount nào, ở mức lương nào — cuối năm đối chiếu ngân sách thì lệch.</t>
  </si>
  <si>
    <t>CV tốt bị bỏ quên. Ứng viên giỏi nhưng trượt vòng cuối lần trước không ai nhớ tới khi mở vị trí tương tự sáu tháng sau.</t>
  </si>
  <si>
    <t>Nhận xét phỏng vấn không so sánh được. Ba người phỏng vấn viết ba kiểu, quyết định tuyển cuối cùng dựa vào ấn tượng chứ không dựa vào tiêu chí.</t>
  </si>
  <si>
    <t>Ứng viên không biết mình đang ở đâu. Phần lớn hồ sơ trượt không bao giờ nhận được phản hồi, ảnh hưởng trực tiếp tới thương hiệu tuyển dụng.</t>
  </si>
  <si>
    <t>TẦM NHÌN SẢN PHẨM</t>
  </si>
  <si>
    <t>CHO bộ phận nhân sự và các trưởng bộ phận đang tuyển người bằng Excel, Gmail và Drive,
ATS LÀ hệ thống quản lý tuyển dụng nội bộ trên nền web
GIÚP theo dõi trọn vòng đời tuyển dụng trên một nguồn dữ liệu duy nhất, từ yêu cầu headcount tới ngày nhận việc,
KHÁC VỚI cách làm hiện tại ở chỗ mọi quyết định — duyệt headcount, loại ứng viên, chốt offer — đều có dấu vết, có tiêu chí, và có thể truy lại.</t>
  </si>
  <si>
    <t>MỤC TIÊU &amp; THƯỚC ĐO SAU 8 TUẦN</t>
  </si>
  <si>
    <t>Mục tiêu</t>
  </si>
  <si>
    <t>Thước đo thành công</t>
  </si>
  <si>
    <t>Đo bằng</t>
  </si>
  <si>
    <t>Chạy trọn một vị trí tuyển dụng thật trên hệ thống</t>
  </si>
  <si>
    <t>1 vị trí pilot đi hết chu trình: yêu cầu → duyệt → đăng tin → ứng tuyển → phỏng vấn → offer → nhận việc</t>
  </si>
  <si>
    <t>Rút ngắn thời gian sàng lọc hồ sơ</t>
  </si>
  <si>
    <t>Recruiter xử lý 20 CV mới trong ≤ 15 phút nhờ pipeline và nhãn sàng lọc</t>
  </si>
  <si>
    <t>Bấm giờ trên staging</t>
  </si>
  <si>
    <t>Mọi headcount đều có dấu vết phê duyệt</t>
  </si>
  <si>
    <t>100% yêu cầu tuyển dụng trong lớp dữ liệu pilot có lịch sử duyệt đầy đủ, không thiếu bước</t>
  </si>
  <si>
    <t>Đối soát nhật ký</t>
  </si>
  <si>
    <t>Quyết định tuyển dựa trên tiêu chí</t>
  </si>
  <si>
    <t>Mỗi ứng viên vào vòng cuối có tối thiểu 2 phiếu đánh giá theo cùng khung năng lực</t>
  </si>
  <si>
    <t>Kiểm thử nghiệp vụ</t>
  </si>
  <si>
    <t>Đội thực tập giao được sản phẩm chạy được</t>
  </si>
  <si>
    <t>Deploy staging tự động, ≥ 60% coverage tầng service, 0 lỗi Critical tồn đọng</t>
  </si>
  <si>
    <t>CI report</t>
  </si>
  <si>
    <t>PHẠM VI</t>
  </si>
  <si>
    <t>TRONG PHẠM VI (In-scope)</t>
  </si>
  <si>
    <t>NGOÀI PHẠM VI (Out-of-scope)</t>
  </si>
  <si>
    <t>• Xác thực, phân quyền theo vai trò, quản trị người dùng nội bộ</t>
  </si>
  <si>
    <t>• Bóc tách CV bằng AI / so khớp ngữ nghĩa JD với hồ sơ</t>
  </si>
  <si>
    <t>• Danh mục phòng ban, chức danh, khung năng lực</t>
  </si>
  <si>
    <t>• Đăng tin tự động sang VietnamWorks, TopCV, LinkedIn</t>
  </si>
  <si>
    <t>• Yêu cầu tuyển dụng và luồng phê duyệt nhiều cấp</t>
  </si>
  <si>
    <t>• Đồng bộ hai chiều với Google Calendar / Outlook</t>
  </si>
  <si>
    <t>• Ngân sách headcount theo phòng ban</t>
  </si>
  <si>
    <t>• Phỏng vấn video trong ứng dụng</t>
  </si>
  <si>
    <t>• Soạn và xuất bản tin tuyển dụng</t>
  </si>
  <si>
    <t>• Bài kiểm tra năng lực trực tuyến, chấm tự động</t>
  </si>
  <si>
    <t>• Cổng ứng tuyển công khai, nộp CV, tra cứu trạng thái</t>
  </si>
  <si>
    <t>• Ký số hợp đồng lao động</t>
  </si>
  <si>
    <t>• Giới thiệu ứng viên nội bộ (referral)</t>
  </si>
  <si>
    <t>• Quản lý nhân sự sau nhận việc: chấm công, lương, đánh giá định kỳ</t>
  </si>
  <si>
    <t>• Hồ sơ ứng viên hợp nhất, phát hiện trùng, kho ứng viên tiềm năng</t>
  </si>
  <si>
    <t>• Ứng dụng di động native</t>
  </si>
  <si>
    <t>• Pipeline tuyển dụng dạng kanban theo giai đoạn</t>
  </si>
  <si>
    <t>• Đặt lịch phỏng vấn, phát hiện trùng lịch, thư mời</t>
  </si>
  <si>
    <t>• Phiếu đánh giá theo khung năng lực và bảng so sánh ứng viên</t>
  </si>
  <si>
    <t>• Đề xuất offer, duyệt offer theo hạn mức, checklist onboarding</t>
  </si>
  <si>
    <t>• Email tự động theo giai đoạn và thông báo trong ứng dụng</t>
  </si>
  <si>
    <t>• Dashboard và báo cáo tuyển dụng</t>
  </si>
  <si>
    <t>NỀN TẢNG KỸ THUẬT</t>
  </si>
  <si>
    <t>Tầng</t>
  </si>
  <si>
    <t>Lựa chọn</t>
  </si>
  <si>
    <t>Lý do chọn cho đội thực tập</t>
  </si>
  <si>
    <t>Frontend</t>
  </si>
  <si>
    <t>React + TypeScript</t>
  </si>
  <si>
    <t>Hệ sinh thái tài liệu tiếng Việt dồi dào, dễ tìm mentor review</t>
  </si>
  <si>
    <t>Backend</t>
  </si>
  <si>
    <t>Spring Boot (Java) hoặc NestJS</t>
  </si>
  <si>
    <t>Chọn theo stack mentor mạnh nhất — chốt trước Sprint 1, không đổi giữa chừng</t>
  </si>
  <si>
    <t>Cơ sở dữ liệu</t>
  </si>
  <si>
    <t>PostgreSQL</t>
  </si>
  <si>
    <t>Luồng phê duyệt và nhật ký cần ràng buộc toàn vẹn mạnh</t>
  </si>
  <si>
    <t>Xác thực</t>
  </si>
  <si>
    <t>JWT access + refresh token</t>
  </si>
  <si>
    <t>Đủ dùng, không kéo theo phụ thuộc hạ tầng ngoài</t>
  </si>
  <si>
    <t>Lưu trữ tệp</t>
  </si>
  <si>
    <t>Dịch vụ lưu trữ đối tượng</t>
  </si>
  <si>
    <t>CV và tài liệu ứng viên; trừu tượng hoá qua interface để đổi nhà cung cấp sau</t>
  </si>
  <si>
    <t>Gửi email</t>
  </si>
  <si>
    <t>SMTP nội bộ + hàng đợi</t>
  </si>
  <si>
    <t>Thư mời phỏng vấn và phản hồi ứng viên phải gửi bất đồng bộ, có thể gửi lại</t>
  </si>
  <si>
    <t>YÊU CẦU PHI CHỨC NĂNG</t>
  </si>
  <si>
    <t>Nhóm</t>
  </si>
  <si>
    <t>Yêu cầu</t>
  </si>
  <si>
    <t>Hiệu năng</t>
  </si>
  <si>
    <t>Danh sách ứng viên trả kết quả &lt; 1,5 giây với 20.000 hồ sơ và 200 vị trí</t>
  </si>
  <si>
    <t>Quy mô</t>
  </si>
  <si>
    <t>400 người dùng nội bộ, cổng ứng tuyển công khai chịu được 100 lượt nộp/giờ</t>
  </si>
  <si>
    <t>Bảo vệ dữ liệu cá nhân</t>
  </si>
  <si>
    <t>Hồ sơ ứng viên là dữ liệu cá nhân: chỉ recruiter phụ trách và hiring manager của vị trí đó xem được; mọi truy cập được ghi nhật ký; có chức năng xoá hồ sơ theo yêu cầu ứng viên</t>
  </si>
  <si>
    <t>Bảo mật</t>
  </si>
  <si>
    <t>Mật khẩu băm bcrypt; cổng ứng tuyển công khai có chống spam và giới hạn tần suất; mọi endpoint kiểm quyền ở tầng server</t>
  </si>
  <si>
    <t>Giao diện</t>
  </si>
  <si>
    <t>Responsive từ 360px — ứng viên nộp CV chủ yếu trên điện thoại</t>
  </si>
  <si>
    <t>Ngôn ngữ</t>
  </si>
  <si>
    <t>Toàn bộ tiếng Việt, múi giờ Asia/Ho_Chi_Minh, tiền lương theo VND</t>
  </si>
  <si>
    <t>Sao lưu</t>
  </si>
  <si>
    <t>Sao lưu cơ sở dữ liệu và tệp CV hằng ngày, giữ 7 bản gần nhất</t>
  </si>
  <si>
    <t>GIẢ ĐỊNH CẦN PO XÁC NHẬN</t>
  </si>
  <si>
    <t>Giả định</t>
  </si>
  <si>
    <t>Ảnh hưởng nếu sai</t>
  </si>
  <si>
    <t>Không đăng tin tự động sang các trang tuyển dụng bên ngoài</t>
  </si>
  <si>
    <t>Nếu cần đẩy tin sang VietnamWorks hoặc TopCV, mỗi tích hợp thêm khoảng 8–13 point và phụ thuộc vào việc họ có mở API hay không</t>
  </si>
  <si>
    <t>Không đồng bộ lịch với Google Calendar hay Outlook</t>
  </si>
  <si>
    <t>Người phỏng vấn phải vào hệ thống để xem lịch. Nếu cần đồng bộ hai chiều, thêm khoảng 13–20 point</t>
  </si>
  <si>
    <t>Luồng duyệt tối đa ba cấp</t>
  </si>
  <si>
    <t>Nếu doanh nghiệp có luồng duyệt song song hoặc duyệt theo ma trận, S3-01 phải thiết kế lại từ đầu</t>
  </si>
  <si>
    <t>Hạn mức duyệt offer dựa trên dải lương của chức danh</t>
  </si>
  <si>
    <t>Nếu hạn mức tính theo tổng chi phí nhân sự hoặc theo ngân sách còn lại của phòng ban thì quy tắc phức tạp hơn</t>
  </si>
  <si>
    <t>Không lưu hợp đồng lao động và không ký số</t>
  </si>
  <si>
    <t>Hệ thống dừng ở thư mời nhận việc. Hợp đồng vẫn ký giấy ngoài hệ thống</t>
  </si>
  <si>
    <t>Ứng viên không có tài khoản đăng nhập</t>
  </si>
  <si>
    <t>Chỉ tra cứu bằng mã. Nếu muốn ứng viên có tài khoản để theo dõi nhiều hồ sơ, thêm khoảng 8 point</t>
  </si>
  <si>
    <t>USER ROLES — 7 VAI TRÒ</t>
  </si>
  <si>
    <t>Vai trò</t>
  </si>
  <si>
    <t>Mã</t>
  </si>
  <si>
    <t>Là ai trong doanh nghiệp</t>
  </si>
  <si>
    <t>Mục tiêu chính khi dùng hệ thống</t>
  </si>
  <si>
    <t>Ứng viên</t>
  </si>
  <si>
    <t>Candidate</t>
  </si>
  <si>
    <t>Người nộp hồ sơ từ bên ngoài, không có tài khoản nội bộ</t>
  </si>
  <si>
    <t>Nộp CV, theo dõi trạng thái hồ sơ, xác nhận lịch phỏng vấn và phản hồi offer</t>
  </si>
  <si>
    <t>Nhân viên tuyển dụng</t>
  </si>
  <si>
    <t>Recruiter</t>
  </si>
  <si>
    <t>Người vận hành tuyển dụng hằng ngày</t>
  </si>
  <si>
    <t>Sàng lọc CV, điều phối pipeline, đặt lịch phỏng vấn, soạn offer</t>
  </si>
  <si>
    <t>Trưởng bộ phận</t>
  </si>
  <si>
    <t>Hiring Manager</t>
  </si>
  <si>
    <t>Người cần người, sở hữu vị trí tuyển dụng</t>
  </si>
  <si>
    <t>Tạo yêu cầu tuyển dụng, xem ứng viên của vị trí mình, quyết định tuyển</t>
  </si>
  <si>
    <t>Người phỏng vấn</t>
  </si>
  <si>
    <t>Interviewer</t>
  </si>
  <si>
    <t>Nhân sự được mời tham gia một vòng phỏng vấn</t>
  </si>
  <si>
    <t>Xem lịch, đọc CV, nộp phiếu đánh giá theo khung năng lực</t>
  </si>
  <si>
    <t>Trưởng phòng Nhân sự</t>
  </si>
  <si>
    <t>HR Manager</t>
  </si>
  <si>
    <t>Chủ sở hữu toàn bộ hoạt động tuyển dụng</t>
  </si>
  <si>
    <t>Giám sát tất cả vị trí, phân công recruiter, theo dõi ngân sách headcount và báo cáo</t>
  </si>
  <si>
    <t>Người duyệt</t>
  </si>
  <si>
    <t>Approver</t>
  </si>
  <si>
    <t>Ban giám đốc hoặc cấp duyệt theo hạn mức</t>
  </si>
  <si>
    <t>Phê duyệt yêu cầu tuyển dụng và offer vượt hạn mức lương</t>
  </si>
  <si>
    <t>Quản trị hệ thống</t>
  </si>
  <si>
    <t>Admin</t>
  </si>
  <si>
    <t>Người vận hành ứng dụng</t>
  </si>
  <si>
    <t>Quản lý tài khoản, vai trò, danh mục dùng chung, xem nhật ký hệ thống</t>
  </si>
  <si>
    <t>MA TRẬN PHÂN QUYỀN THEO MODULE</t>
  </si>
  <si>
    <t>F = toàn quyền  |  W = ghi trong phạm vi được giao  |  R = chỉ xem  |  – = không truy cập  |  * Chỉ trên dữ liệu của chính mình, của vị trí mình sở hữu hoặc vòng phỏng vấn mình tham gia. Với hồ sơ ứng viên đây là ràng buộc bảo vệ dữ liệu cá nhân, bắt buộc kiểm ở tầng server. Admin có toàn quyền trên mọi module.</t>
  </si>
  <si>
    <t>Module</t>
  </si>
  <si>
    <t>Hiring Mgr</t>
  </si>
  <si>
    <t>Danh mục tổ chức &amp; vị trí</t>
  </si>
  <si>
    <t>–</t>
  </si>
  <si>
    <t>R</t>
  </si>
  <si>
    <t>F</t>
  </si>
  <si>
    <t>Yêu cầu tuyển dụng</t>
  </si>
  <si>
    <t>W*</t>
  </si>
  <si>
    <t>W</t>
  </si>
  <si>
    <t>Tin tuyển dụng</t>
  </si>
  <si>
    <t>Hồ sơ ứng viên &amp; pipeline</t>
  </si>
  <si>
    <t>R*</t>
  </si>
  <si>
    <t>Lịch phỏng vấn</t>
  </si>
  <si>
    <t>Phiếu đánh giá</t>
  </si>
  <si>
    <t>Offer &amp; onboarding</t>
  </si>
  <si>
    <t>Email &amp; thông báo</t>
  </si>
  <si>
    <t>Báo cáo &amp; dashboard</t>
  </si>
  <si>
    <t>Người dùng &amp; nhật ký</t>
  </si>
  <si>
    <t>EPICS — 9 NHÓM CHỨC NĂNG</t>
  </si>
  <si>
    <t>Mã Epic</t>
  </si>
  <si>
    <t>Tên Epic</t>
  </si>
  <si>
    <t>Mục tiêu / phạm vi</t>
  </si>
  <si>
    <t>Point</t>
  </si>
  <si>
    <t>% tổng</t>
  </si>
  <si>
    <t>Sprint</t>
  </si>
  <si>
    <t>Số story</t>
  </si>
  <si>
    <t>EP-01</t>
  </si>
  <si>
    <t>Tài khoản, Phân quyền &amp; Hồ sơ</t>
  </si>
  <si>
    <t>Đăng nhập, khôi phục mật khẩu, mô hình phân quyền theo vai trò, quản trị tài khoản nội bộ và hồ sơ cá nhân.</t>
  </si>
  <si>
    <t>1–2</t>
  </si>
  <si>
    <t>EP-02</t>
  </si>
  <si>
    <t>Danh mục Tổ chức &amp; Vị trí</t>
  </si>
  <si>
    <t>Phòng ban, chức danh, dải lương, khung năng lực và ngân hàng câu hỏi phỏng vấn. Bộ khung mà mọi yêu cầu tuyển dụng và phiếu đánh giá đều tham chiếu tới.</t>
  </si>
  <si>
    <t>2</t>
  </si>
  <si>
    <t>EP-03</t>
  </si>
  <si>
    <t>Yêu cầu tuyển dụng &amp; Phê duyệt</t>
  </si>
  <si>
    <t>Requisition, luồng duyệt nhiều cấp, ngân sách headcount, phân công recruiter. Đây là nơi trách nhiệm được ghi lại.</t>
  </si>
  <si>
    <t>2–3</t>
  </si>
  <si>
    <t>EP-04</t>
  </si>
  <si>
    <t>Đăng tin &amp; Cổng ứng tuyển</t>
  </si>
  <si>
    <t>Soạn và xuất bản tin, trang việc làm công khai, nộp CV, tra cứu trạng thái, rút hồ sơ, giới thiệu nội bộ.</t>
  </si>
  <si>
    <t>2–4</t>
  </si>
  <si>
    <t>EP-05</t>
  </si>
  <si>
    <t>Hồ sơ ứng viên &amp; Pipeline</t>
  </si>
  <si>
    <t>Epic nặng nhất. Hồ sơ hợp nhất, gộp trùng, kanban theo giai đoạn, sàng lọc, kho ứng viên tiềm năng.</t>
  </si>
  <si>
    <t>4–6</t>
  </si>
  <si>
    <t>EP-06</t>
  </si>
  <si>
    <t>Phỏng vấn &amp; Đánh giá</t>
  </si>
  <si>
    <t>Đặt lịch đơn lẻ và hàng loạt, chống trùng lịch, thư mời, bộ câu hỏi gợi ý, phiếu đánh giá theo khung năng lực, quyết định tuyển.</t>
  </si>
  <si>
    <t>6–7</t>
  </si>
  <si>
    <t>EP-07</t>
  </si>
  <si>
    <t>Offer &amp; Onboarding</t>
  </si>
  <si>
    <t>Đề xuất offer, duyệt theo hạn mức lương, thư mời nhận việc, xử lý từ chối, checklist ngày đầu.</t>
  </si>
  <si>
    <t>7</t>
  </si>
  <si>
    <t>EP-08</t>
  </si>
  <si>
    <t>Thông báo &amp; Email tự động</t>
  </si>
  <si>
    <t>Mẫu email theo giai đoạn, thư từ chối hàng loạt, nhật ký thư đã gửi, thông báo trong ứng dụng, nhắc SLA quá hạn.</t>
  </si>
  <si>
    <t>5, 7, 8</t>
  </si>
  <si>
    <t>EP-09</t>
  </si>
  <si>
    <t>Báo cáo &amp; Dashboard tuyển dụng</t>
  </si>
  <si>
    <t>Phễu tuyển dụng, tỷ lệ chuyển đổi, time-to-hire, cost-per-hire, hiệu quả nguồn ứng viên, tiến độ vị trí cho trưởng bộ phận.</t>
  </si>
  <si>
    <t>8</t>
  </si>
  <si>
    <t>TỔNG</t>
  </si>
  <si>
    <t>PRODUCT BACKLOG — 76 USER STORY / 350 POINT / 8 SPRINT</t>
  </si>
  <si>
    <t>Mẫu story: Là &lt;vai trò&gt;, tôi muốn &lt;hành động&gt;, để &lt;giá trị&gt;.   |   Ưu tiên MoSCoW: Must / Should / Could.   |   1 point ≈ 4 giờ công của đội 5 người.</t>
  </si>
  <si>
    <t>ID</t>
  </si>
  <si>
    <t>Epic</t>
  </si>
  <si>
    <t>User Story</t>
  </si>
  <si>
    <t>Tiêu chí chấp nhận (AC)</t>
  </si>
  <si>
    <t>Ưu tiên</t>
  </si>
  <si>
    <t>Trạng thái</t>
  </si>
  <si>
    <t>Ghi chú / Người thực hiện</t>
  </si>
  <si>
    <t>SPRINT 1 — Tài khoản, phân quyền và quản trị người dùng   ·   10 story · 42 point</t>
  </si>
  <si>
    <t>Sprint Goal: Quản trị viên tạo được tài khoản cho toàn bộ nhân sự tham gia tuyển dụng, mỗi vai trò đăng nhập vào chỉ nhìn thấy đúng phần menu thuộc quyền của mình.</t>
  </si>
  <si>
    <t>S1-01</t>
  </si>
  <si>
    <t>nhân sự nội bộ</t>
  </si>
  <si>
    <t>Là nhân sự nội bộ, tôi muốn đăng nhập bằng email công ty và mật khẩu, để truy cập được dữ liệu tuyển dụng mà người ngoài không xem được hồ sơ ứng viên.</t>
  </si>
  <si>
    <t>• Đăng nhập đúng thì vào được trang chủ tương ứng với vai trò
• Sai thông tin hiển thị thông báo chung, không tiết lộ email có tồn tại hay không
• Khoá tạm 15 phút sau 5 lần sai liên tiếp</t>
  </si>
  <si>
    <t>Must</t>
  </si>
  <si>
    <t>Chưa bắt đầu</t>
  </si>
  <si>
    <t>S1-02</t>
  </si>
  <si>
    <t>Là nhân sự nội bộ, tôi muốn duy trì phiên đăng nhập và đăng xuất an toàn, để không bị mất dữ liệu đang nhập dở khi đang chấm phiếu đánh giá.</t>
  </si>
  <si>
    <t>• Phiên được gia hạn tự động khi còn hoạt động
• Đăng xuất làm mất hiệu lực phiên ngay lập tức phía server
• Phiên hết hạn đưa về trang đăng nhập kèm thông báo rõ ràng</t>
  </si>
  <si>
    <t>S1-03</t>
  </si>
  <si>
    <t>Là nhân sự nội bộ, tôi muốn đặt lại mật khẩu khi quên thông qua email, để tự lấy lại quyền truy cập mà không phải chờ quản trị viên.</t>
  </si>
  <si>
    <t>• Nhập email nhận được liên kết đặt lại có hiệu lực 30 phút
• Liên kết chỉ dùng được một lần
• Email không tồn tại vẫn hiển thị cùng một thông báo</t>
  </si>
  <si>
    <t>S1-04</t>
  </si>
  <si>
    <t>Là nhân sự nội bộ, tôi muốn đổi mật khẩu khi đang đăng nhập, để chủ động bảo vệ tài khoản sau khi được cấp mật khẩu tạm.</t>
  </si>
  <si>
    <t>• Bắt buộc nhập mật khẩu hiện tại
• Mật khẩu mới tối thiểu 8 ký tự, có chữ và số
• Đổi xong thu hồi các phiên đăng nhập khác</t>
  </si>
  <si>
    <t>S1-05</t>
  </si>
  <si>
    <t>Là Quản trị hệ thống, tôi muốn phân quyền theo vai trò cho toàn hệ thống, để đảm bảo người phỏng vấn không xem được dải lương và recruiter không xem được ứng viên của vị trí không thuộc mình.</t>
  </si>
  <si>
    <t>• Khai báo được quyền cho từng vai trò trong bảy vai trò nghiệp vụ
• Mọi chức năng đều kiểm quyền ở tầng server, mặc định là từ chối
• Truy cập thiếu quyền hiển thị thông báo tiếng Việt rõ ràng
• Có kiểm thử tự động cho ít nhất ba vai trò</t>
  </si>
  <si>
    <t>S1-06</t>
  </si>
  <si>
    <t>Là nhân sự nội bộ, tôi muốn thấy menu điều hướng đúng theo quyền của mình, để không bị rối bởi những chức năng mình không được dùng.</t>
  </si>
  <si>
    <t>• Mục menu không thuộc quyền thì không hiển thị
• Hiển thị tên và vai trò người đang đăng nhập
• Dùng được thuận tiện trên màn hình 360px</t>
  </si>
  <si>
    <t>S1-07</t>
  </si>
  <si>
    <t>Là nhân sự nội bộ, tôi muốn nhận thông báo rõ ràng khi truy cập nhầm chỗ hoặc không đủ quyền, để biết mình nên làm gì tiếp thay vì gặp một trang trắng.</t>
  </si>
  <si>
    <t>• Trang báo lỗi dùng chung giao diện ứng dụng
• Mỗi trang lỗi có một hành động gợi ý để quay lại luồng làm việc</t>
  </si>
  <si>
    <t>Should</t>
  </si>
  <si>
    <t>S1-08</t>
  </si>
  <si>
    <t>Là Quản trị hệ thống, tôi muốn tạo, sửa và tìm kiếm tài khoản nội bộ, để cấp quyền cho người phỏng vấn mới ngay khi họ được mời tham gia hội đồng.</t>
  </si>
  <si>
    <t>• Tạo tài khoản gửi email kích hoạt kèm mật khẩu tạm
• Email trùng bị từ chối kèm thông báo cụ thể
• Tìm theo tên, email, phòng ban; lọc theo vai trò và trạng thái
• Danh sách phân trang, mặc định 20 dòng</t>
  </si>
  <si>
    <t>S1-09</t>
  </si>
  <si>
    <t>Là Quản trị hệ thống, tôi muốn gán và thu hồi vai trò cho một người dùng, để xử lý được trường hợp một trưởng bộ phận vừa là Hiring Manager vừa là người phỏng vấn.</t>
  </si>
  <si>
    <t>• Một người dùng có thể giữ nhiều vai trò cùng lúc
• Thay đổi vai trò có hiệu lực ngay ở thao tác kế tiếp
• Không thể tự thu hồi vai trò quản trị của chính mình</t>
  </si>
  <si>
    <t>S1-10</t>
  </si>
  <si>
    <t>Là Quản trị hệ thống, tôi muốn khoá và mở khoá tài khoản, để chặn ngay quyền xem hồ sơ ứng viên khi một nhân sự nghỉ việc.</t>
  </si>
  <si>
    <t>• Tài khoản bị khoá không đăng nhập được và bị thu hồi phiên đang mở
• Bắt buộc ghi lý do khoá
• Vị trí tuyển dụng do người đó phụ trách được cảnh báo cần bàn giao</t>
  </si>
  <si>
    <t>SPRINT 2 — Bộ khung tổ chức, khung năng lực và yêu cầu tuyển dụng   ·   10 story · 45 point</t>
  </si>
  <si>
    <t>Sprint Goal: HR khai báo được sơ đồ tổ chức cùng khung năng lực dùng để chấm điểm phỏng vấn về sau, và trưởng bộ phận tạo được yêu cầu tuyển dụng đầu tiên.</t>
  </si>
  <si>
    <t>S2-01</t>
  </si>
  <si>
    <t>Là Quản trị hệ thống, tôi muốn nhập danh sách nhân sự hàng loạt từ tệp Excel, để tạo tài khoản cho cả phòng ban trong vài phút thay vì gõ tay từng người.</t>
  </si>
  <si>
    <t>• Tải được tệp mẫu
• Xem trước và báo lỗi theo từng dòng trước khi nhập
• Dòng lỗi bị bỏ qua, dòng hợp lệ vẫn được nhập, có báo cáo tổng kết</t>
  </si>
  <si>
    <t>S2-02</t>
  </si>
  <si>
    <t>Là nhân sự nội bộ, tôi muốn xem và cập nhật hồ sơ cá nhân, để thông tin liên lạc của tôi luôn đúng để nhận được lời mời tham gia phỏng vấn.</t>
  </si>
  <si>
    <t>• Sửa được họ tên, số điện thoại, chức danh hiển thị
• Không tự đổi được email, phòng ban và vai trò
• Kiểm tra định dạng số điện thoại Việt Nam</t>
  </si>
  <si>
    <t>S2-03</t>
  </si>
  <si>
    <t>Là nhân sự nội bộ, tôi muốn tải lên ảnh đại diện, để đồng nghiệp nhận ra tôi trên lịch phỏng vấn chung.</t>
  </si>
  <si>
    <t>• Chấp nhận JPG/PNG tối đa 2MB
• Ảnh được cắt vuông và tạo bản thu nhỏ</t>
  </si>
  <si>
    <t>Could</t>
  </si>
  <si>
    <t>S2-04</t>
  </si>
  <si>
    <t>Là Trưởng phòng Nhân sự, tôi muốn khai báo phòng ban và sơ đồ tổ chức, để yêu cầu tuyển dụng luôn gắn đúng phòng ban và đi đúng người duyệt.</t>
  </si>
  <si>
    <t>• Phòng ban có cấu trúc cây nhiều cấp
• Mỗi phòng ban có một người phụ trách
• Phòng ban đang có yêu cầu tuyển dụng mở thì không xoá được, chỉ ngừng áp dụng</t>
  </si>
  <si>
    <t>S2-05</t>
  </si>
  <si>
    <t>Là Trưởng phòng Nhân sự, tôi muốn khai báo danh mục chức danh và dải lương, để kiểm soát được mức lương đề xuất nằm trong khung công ty đã duyệt.</t>
  </si>
  <si>
    <t>• Mỗi chức danh có mã, tên, cấp bậc, dải lương tối thiểu và tối đa
• Dải lương dùng làm hạn mức duyệt offer về sau
• Chỉ Trưởng phòng Nhân sự xem được dải lương</t>
  </si>
  <si>
    <t>S2-06</t>
  </si>
  <si>
    <t>Là Trưởng phòng Nhân sự, tôi muốn khai báo khung năng lực cho từng chức danh, để mọi người phỏng vấn cùng chấm trên một bộ tiêu chí thay vì mỗi người một kiểu.</t>
  </si>
  <si>
    <t>• Mỗi chức danh gắn với một bộ tiêu chí đánh giá, mỗi tiêu chí có trọng số
• Tổng trọng số của một khung bằng 100%
• Khung năng lực dùng lại được cho nhiều chức danh
• Đây chính là bộ tiêu chí sinh ra phiếu đánh giá phỏng vấn ở Sprint 6</t>
  </si>
  <si>
    <t>S2-07</t>
  </si>
  <si>
    <t>Là Trưởng phòng Nhân sự, tôi muốn quản lý ngân hàng câu hỏi phỏng vấn theo khung năng lực, để người phỏng vấn mới vẫn hỏi đúng trọng tâm ngay lần đầu tham gia hội đồng.</t>
  </si>
  <si>
    <t>• Mỗi câu hỏi gắn với một tiêu chí trong khung năng lực
• Câu hỏi có mức độ khó và gợi ý câu trả lời tốt
• Tìm kiếm và lọc câu hỏi theo chức danh và tiêu chí</t>
  </si>
  <si>
    <t>S2-08</t>
  </si>
  <si>
    <t>Là Trưởng phòng Nhân sự, tôi muốn khai báo các danh mục dùng chung của tuyển dụng, để thống nhất cách gọi tên nguồn ứng viên và lý do loại giữa các recruiter.</t>
  </si>
  <si>
    <t>• Nguồn ứng viên, lý do loại hồ sơ, địa điểm làm việc, hình thức làm việc
• Giá trị đang được tham chiếu thì không xoá được
• Sắp xếp được thứ tự hiển thị</t>
  </si>
  <si>
    <t>S2-09</t>
  </si>
  <si>
    <t>Là Trưởng phòng Nhân sự, tôi muốn cấu hình trang giới thiệu công ty trên cổng tuyển dụng, để ứng viên hiểu về công ty trước khi quyết định nộp hồ sơ.</t>
  </si>
  <si>
    <t>• Soạn nội dung giới thiệu, tải ảnh và logo
• Xem trước đúng như giao diện công khai trước khi lưu</t>
  </si>
  <si>
    <t>S2-10</t>
  </si>
  <si>
    <t>Là Trưởng bộ phận, tôi muốn tạo yêu cầu tuyển dụng cho vị trí mình cần người, để xin headcount có hồ sơ rõ ràng thay vì nhắn tin cho sếp.</t>
  </si>
  <si>
    <t>• Khai báo chức danh, phòng ban, số lượng, lý do tuyển (thay thế hoặc tăng mới), dải lương đề xuất, ngày cần người
• Soạn mô tả công việc và yêu cầu ứng viên, lưu nháp được
• Dải lương đề xuất nằm ngoài dải chuẩn của chức danh thì bắt buộc nhập giải trình
• Ngày cần người không được ở quá khứ</t>
  </si>
  <si>
    <t>SPRINT 3 — Luồng phê duyệt headcount và đăng tin   ·   10 story · 44 point</t>
  </si>
  <si>
    <t>Sprint Goal: Yêu cầu tuyển dụng đi qua đúng các cấp duyệt theo hạn mức, mọi bước để lại dấu vết truy lại được, và yêu cầu đã duyệt trở thành tin tuyển dụng đã xuất bản.</t>
  </si>
  <si>
    <t>S3-01</t>
  </si>
  <si>
    <t>Là Trưởng phòng Nhân sự, tôi muốn cấu hình luồng phê duyệt nhiều cấp theo hạn mức, để headcount lương cao tự động phải lên cấp duyệt cao hơn mà không cần ai nhắc.</t>
  </si>
  <si>
    <t>• Khai báo chuỗi cấp duyệt theo phòng ban và theo mức lương đề xuất
• Yêu cầu vượt hạn mức tự động thêm cấp duyệt cao hơn
• Cấu hình sai (không có cấp duyệt nào khớp) bị chặn lưu
• Luồng đang chạy không bị ảnh hưởng khi cấu hình thay đổi</t>
  </si>
  <si>
    <t>S3-02</t>
  </si>
  <si>
    <t>Là Người duyệt, tôi muốn phê duyệt, từ chối hoặc yêu cầu bổ sung một yêu cầu tuyển dụng, để ra quyết định có ghi chép thay vì trả lời bằng một tin nhắn.</t>
  </si>
  <si>
    <t>• Ba hành động: Duyệt, Từ chối, Yêu cầu bổ sung — hai hành động sau bắt buộc nhập ý kiến
• Duyệt xong tự chuyển sang cấp kế tiếp; cấp cuối duyệt thì yêu cầu chuyển sang trạng thái Đã duyệt
• Yêu cầu bổ sung trả hồ sơ về cho người tạo và giữ nguyên lịch sử</t>
  </si>
  <si>
    <t>S3-03</t>
  </si>
  <si>
    <t>Là Trưởng bộ phận, tôi muốn theo dõi trạng thái và lịch sử phê duyệt của yêu cầu, để biết hồ sơ đang nằm ở bàn ai mà không phải đi hỏi vòng quanh.</t>
  </si>
  <si>
    <t>• Hiển thị chuỗi cấp duyệt, cấp nào đã duyệt, đang chờ ai
• Mỗi bước ghi người duyệt, thời điểm, ý kiến
• Lịch sử không sửa và không xoá được</t>
  </si>
  <si>
    <t>S3-04</t>
  </si>
  <si>
    <t>Là Trưởng phòng Nhân sự, tôi muốn quản lý ngân sách headcount theo phòng ban, để không duyệt vượt chỉ tiêu nhân sự đã được phê duyệt đầu năm.</t>
  </si>
  <si>
    <t>• Khai báo chỉ tiêu headcount và ngân sách lương theo phòng ban theo năm
• Yêu cầu tuyển dụng mới hiển thị số headcount còn lại của phòng ban
• Vượt chỉ tiêu là cảnh báo chặn, cần Trưởng phòng Nhân sự xác nhận ghi đè kèm lý do</t>
  </si>
  <si>
    <t>S3-05</t>
  </si>
  <si>
    <t>Là Trưởng bộ phận, tôi muốn sao chép một yêu cầu tuyển dụng đã có để tạo yêu cầu mới, để tuyển thêm vị trí giống lần trước mà không phải viết lại mô tả công việc.</t>
  </si>
  <si>
    <t>• Sao chép toàn bộ mô tả công việc và yêu cầu ứng viên
• Bản sao luôn bắt đầu ở trạng thái Nháp, không kế thừa lịch sử duyệt</t>
  </si>
  <si>
    <t>S3-06</t>
  </si>
  <si>
    <t>Là Trưởng phòng Nhân sự, tôi muốn phân công recruiter phụ trách một yêu cầu tuyển dụng, để mỗi vị trí đều có một người chịu trách nhiệm chạy tới cùng.</t>
  </si>
  <si>
    <t>• Phân công một recruiter chính và nhiều recruiter hỗ trợ
• Recruiter chỉ nhìn thấy ứng viên của vị trí được giao
• Có ghi lịch sử chuyển giao khi đổi người phụ trách</t>
  </si>
  <si>
    <t>S3-07</t>
  </si>
  <si>
    <t>Là Trưởng phòng Nhân sự, tôi muốn tạm dừng, đóng hoặc huỷ một yêu cầu tuyển dụng, để dừng tuyển khi kế hoạch thay đổi mà tin đăng không còn treo ngoài cổng.</t>
  </si>
  <si>
    <t>• Ba trạng thái kết thúc có lý do riêng: Đã tuyển đủ, Tạm dừng, Huỷ
• Đóng yêu cầu tự động gỡ tin tuyển dụng đang đăng
• Ứng viên còn đang trong pipeline được cảnh báo cần xử lý trước khi đóng</t>
  </si>
  <si>
    <t>S3-08</t>
  </si>
  <si>
    <t>Là Trưởng phòng Nhân sự, tôi muốn xem danh sách yêu cầu tuyển dụng kèm bộ lọc và cảnh báo trễ hạn, để phát hiện vị trí đang tắc trước khi trưởng bộ phận phàn nàn.</t>
  </si>
  <si>
    <t>• Lọc theo trạng thái, phòng ban, recruiter phụ trách, khoảng thời gian
• Mỗi dòng hiển thị số ngày mở và số ngày còn lại tới ngày cần người
• Yêu cầu quá ngày cần người được đánh dấu nổi bật</t>
  </si>
  <si>
    <t>S3-09</t>
  </si>
  <si>
    <t>Là Nhân viên tuyển dụng, tôi muốn soạn tin tuyển dụng từ một yêu cầu đã được duyệt, để đăng tin trong ngày duyệt xong mà không phải viết lại từ đầu.</t>
  </si>
  <si>
    <t>• Nội dung mô tả công việc được kế thừa từ yêu cầu, sửa lại được cho phù hợp ngôn ngữ tuyển dụng
• Khai báo địa điểm, hình thức làm việc, hạn nhận hồ sơ, có hiển thị mức lương hay không
• Chỉ yêu cầu ở trạng thái Đã duyệt mới tạo được tin</t>
  </si>
  <si>
    <t>S3-10</t>
  </si>
  <si>
    <t>Là Trưởng phòng Nhân sự, tôi muốn duyệt và xuất bản tin tuyển dụng, để tin đăng ra ngoài luôn đúng chuẩn thương hiệu công ty.</t>
  </si>
  <si>
    <t>• Tin phải qua duyệt trước khi hiển thị công khai
• Xem trước đúng như giao diện công khai trước khi xuất bản
• Ghi lại người xuất bản và thời điểm</t>
  </si>
  <si>
    <t>SPRINT 4 — Cổng ứng tuyển và hồ sơ ứng viên   ·   9 story · 45 point</t>
  </si>
  <si>
    <t>Sprint Goal: Ứng viên bên ngoài nộp được CV trên điện thoại, tra cứu lại được trạng thái hồ sơ, và recruiter mở được hồ sơ ứng viên hợp nhất.</t>
  </si>
  <si>
    <t>S4-01</t>
  </si>
  <si>
    <t>Là Ứng viên, tôi muốn xem danh sách việc làm đang tuyển trên trang công khai, để tìm được vị trí phù hợp mà không cần tài khoản.</t>
  </si>
  <si>
    <t>• Không cần đăng nhập
• Lọc theo phòng ban, địa điểm, hình thức làm việc
• Tìm kiếm theo từ khoá trong tiêu đề và mô tả
• Chỉ hiển thị tin đã xuất bản và còn hạn</t>
  </si>
  <si>
    <t>S4-02</t>
  </si>
  <si>
    <t>Là Ứng viên, tôi muốn xem chi tiết một tin tuyển dụng, để biết đủ thông tin để quyết định có nộp hồ sơ hay không.</t>
  </si>
  <si>
    <t>• Hiển thị mô tả công việc, yêu cầu, quyền lợi, hạn nộp
• Có nút ứng tuyển nổi bật, hiển thị tốt trên điện thoại
• Tin đã hết hạn hiển thị thông báo thay vì biểu mẫu ứng tuyển</t>
  </si>
  <si>
    <t>S4-03</t>
  </si>
  <si>
    <t>Là Ứng viên, tôi muốn nộp hồ sơ ứng tuyển kèm CV, để ứng tuyển ngay trên điện thoại mà không phải mở máy tính.</t>
  </si>
  <si>
    <t>• Biểu mẫu gồm họ tên, email, số điện thoại, nguồn biết tin, thư giới thiệu và tệp CV
• CV chấp nhận PDF hoặc DOCX, tối đa 10MB
• Có chống spam và giới hạn số lần nộp từ một địa chỉ trong một giờ
• Nộp trùng cùng một vị trí bằng cùng email bị từ chối kèm thông báo rõ ràng
• Nộp thành công sinh mã tra cứu và gửi email xác nhận</t>
  </si>
  <si>
    <t>S4-04</t>
  </si>
  <si>
    <t>Là Nhân viên tuyển dụng, tôi muốn có thông tin cơ bản của ứng viên được điền sẵn từ tệp CV, để không phải gõ lại họ tên và số điện thoại của hàng trăm hồ sơ.</t>
  </si>
  <si>
    <t>• Hệ thống bóc tách họ tên, email, số điện thoại từ CV dạng PDF
• Kết quả bóc tách hiển thị để recruiter xác nhận hoặc sửa, không tự ghi đè
• Bóc tách thất bại không làm hỏng việc nộp hồ sơ</t>
  </si>
  <si>
    <t>S4-05</t>
  </si>
  <si>
    <t>Là Ứng viên, tôi muốn tra cứu trạng thái hồ sơ của mình bằng mã tra cứu, để biết hồ sơ đã được xem chưa mà không phải gọi điện hỏi.</t>
  </si>
  <si>
    <t>• Nhập mã tra cứu và email để xem trạng thái
• Chỉ hiển thị trạng thái ở mức tổng quát: Đã nhận, Đang xem xét, Mời phỏng vấn, Kết thúc
• Không tiết lộ nhận xét nội bộ hay tên người phỏng vấn</t>
  </si>
  <si>
    <t>S4-06</t>
  </si>
  <si>
    <t>Là Ứng viên, tôi muốn rút hồ sơ ứng tuyển của mình, để dừng quá trình khi đã nhận việc nơi khác mà không phải im lặng bỏ cuộc.</t>
  </si>
  <si>
    <t>• Rút hồ sơ qua liên kết trong email xác nhận, có xác nhận lại trước khi thực hiện
• Hồ sơ chuyển sang trạng thái Ứng viên rút và biến mất khỏi pipeline đang hoạt động
• Recruiter phụ trách nhận thông báo</t>
  </si>
  <si>
    <t>S4-07</t>
  </si>
  <si>
    <t>Là nhân sự nội bộ, tôi muốn giới thiệu ứng viên cho một vị trí đang tuyển, để giúp công ty tuyển được người quen phù hợp và theo dõi được kết quả.</t>
  </si>
  <si>
    <t>• Nhân viên nội bộ nộp hồ sơ giúp người quen kèm ghi chú giới thiệu
• Hồ sơ được gắn nhãn nguồn Giới thiệu nội bộ và tên người giới thiệu
• Người giới thiệu theo dõi được trạng thái ở mức tổng quát</t>
  </si>
  <si>
    <t>S4-08</t>
  </si>
  <si>
    <t>Là Nhân viên tuyển dụng, tôi muốn gỡ tin hoặc để tin tự hết hạn, để không để tin cũ treo ngoài cổng gây nhầm lẫn cho ứng viên.</t>
  </si>
  <si>
    <t>• Gỡ tin thủ công bất cứ lúc nào, tin biến mất khỏi trang công khai ngay
• Tin quá hạn nhận hồ sơ tự động ẩn bằng tác vụ định kỳ hằng ngày</t>
  </si>
  <si>
    <t>S4-09</t>
  </si>
  <si>
    <t>Là Nhân viên tuyển dụng, tôi muốn xem hồ sơ ứng viên hợp nhất, để nắm được toàn bộ lịch sử của một ứng viên trong một màn hình.</t>
  </si>
  <si>
    <t>• Một trang gồm thông tin cá nhân, CV xem trước ngay trong trang, lịch sử ứng tuyển các vị trí, nhãn, ghi chú
• Hiển thị đầy đủ các lần ứng tuyển trước đây của cùng người này
• Chỉ recruiter phụ trách và hiring manager của vị trí đó mở được</t>
  </si>
  <si>
    <t>SPRINT 5 — Pipeline tuyển dụng và sàng lọc hồ sơ   ·   10 story · 45 point</t>
  </si>
  <si>
    <t>Sprint Goal: Recruiter làm việc trọn ngày trên một màn hình: nhìn thấy toàn bộ ứng viên của vị trí mình trên bảng pipeline, sàng lọc và chuyển giai đoạn mà không cần mở Excel.</t>
  </si>
  <si>
    <t>S5-01</t>
  </si>
  <si>
    <t>Là Nhân viên tuyển dụng, tôi muốn được cảnh báo và gộp hồ sơ ứng viên trùng, để không gọi phỏng vấn hai lần cho cùng một người.</t>
  </si>
  <si>
    <t>• Phát hiện trùng theo email và số điện thoại khi có hồ sơ mới
• Hiển thị so sánh cạnh nhau trước khi gộp
• Gộp giữ lại toàn bộ lịch sử ứng tuyển của cả hai hồ sơ
• Gộp nhầm có thể hoàn tác trong 24 giờ</t>
  </si>
  <si>
    <t>S5-02</t>
  </si>
  <si>
    <t>Là Nhân viên tuyển dụng, tôi muốn điều phối ứng viên trên bảng pipeline dạng kanban, để nhìn một màn hình là biết vị trí đang tắc ở giai đoạn nào.</t>
  </si>
  <si>
    <t>• Các giai đoạn: Hồ sơ mới → Sàng lọc → Phỏng vấn → Đề xuất offer → Nhận việc → Loại
• Kéo thả để chuyển giai đoạn
• Mỗi cột hiển thị số lượng ứng viên
• Bảng lọc theo vị trí tuyển dụng, mặc định là vị trí recruiter đang phụ trách</t>
  </si>
  <si>
    <t>S5-03</t>
  </si>
  <si>
    <t>Là Nhân viên tuyển dụng, tôi muốn chuyển giai đoạn và ghi lý do khi loại ứng viên, để phân tích được sau này vì sao hồ sơ rơi rụng nhiều ở một khâu.</t>
  </si>
  <si>
    <t>• Chuyển sang Loại bắt buộc chọn lý do từ danh mục
• Mỗi lần chuyển giai đoạn được ghi nhật ký kèm người thực hiện và thời điểm
• Không cho phép bỏ qua giai đoạn Phỏng vấn khi đi thẳng tới Đề xuất offer, trừ khi Trưởng phòng Nhân sự xác nhận</t>
  </si>
  <si>
    <t>S5-04</t>
  </si>
  <si>
    <t>Là Nhân viên tuyển dụng, tôi muốn sàng lọc hồ sơ bằng nhãn, đánh giá nhanh và ghi chú, để xử lý 20 CV mới trong 15 phút thay vì đọc lại từ đầu mỗi lần mở.</t>
  </si>
  <si>
    <t>• Gắn nhiều nhãn cho một hồ sơ, nhãn khai báo được ở danh mục
• Đánh giá nhanh theo thang 1–5 sao
• Ghi chú nội bộ có ghi tên người viết, ứng viên không bao giờ nhìn thấy</t>
  </si>
  <si>
    <t>S5-05</t>
  </si>
  <si>
    <t>Là Nhân viên tuyển dụng, tôi muốn tìm kiếm và lọc ứng viên theo nhiều điều kiện, để tìm lại được hồ sơ đã xem tháng trước khi mở vị trí tương tự.</t>
  </si>
  <si>
    <t>• Lọc theo vị trí, giai đoạn, nguồn, nhãn, khoảng thời gian nộp, mức đánh giá
• Tìm theo tên, email, số điện thoại và từ khoá trong thư giới thiệu
• Lưu lại được bộ lọc hay dùng</t>
  </si>
  <si>
    <t>S5-06</t>
  </si>
  <si>
    <t>Là Trưởng phòng Nhân sự, tôi muốn quản lý kho ứng viên tiềm năng, để tận dụng lại ứng viên giỏi từng trượt vòng cuối thay vì tuyển mới từ đầu.</t>
  </si>
  <si>
    <t>• Ứng viên bị loại ở vòng cuối được đánh dấu đưa vào kho tiềm năng kèm lý do
• Kho tìm kiếm được theo chức danh quan tâm và kỹ năng
• Khi mở vị trí mới, hệ thống gợi ý ứng viên phù hợp từ kho</t>
  </si>
  <si>
    <t>S5-07</t>
  </si>
  <si>
    <t>Là Nhân viên tuyển dụng, tôi muốn xem nhật ký toàn bộ tương tác với một ứng viên, để biết ai đã liên hệ ứng viên này và nói gì trước khi mình gọi.</t>
  </si>
  <si>
    <t>• Dòng thời gian gồm: nộp hồ sơ, chuyển giai đoạn, email đã gửi, lịch phỏng vấn, đánh giá
• Sắp xếp mới nhất trước</t>
  </si>
  <si>
    <t>S5-08</t>
  </si>
  <si>
    <t>Là Nhân viên tuyển dụng, tôi muốn thêm ứng viên thủ công vào một vị trí, để đưa được ứng viên tìm từ LinkedIn vào cùng một pipeline.</t>
  </si>
  <si>
    <t>• Nhập tay thông tin và tải CV cho ứng viên tìm được từ nguồn khác
• Ứng viên thêm tay vẫn đi qua đúng luồng phát hiện trùng</t>
  </si>
  <si>
    <t>S5-09</t>
  </si>
  <si>
    <t>Là Nhân viên tuyển dụng, tôi muốn có hồ sơ mới được chấm điểm sàng lọc theo tiêu chí bắt buộc của vị trí, để ưu tiên đọc trước những hồ sơ có khả năng phù hợp nhất.</t>
  </si>
  <si>
    <t>• Khai báo tiêu chí bắt buộc cho vị trí: số năm kinh nghiệm, bằng cấp, kỹ năng
• Hồ sơ mới được gắn điểm phù hợp và cờ Đạt hoặc Không đạt tiêu chí bắt buộc
• Điểm chỉ để gợi ý sắp xếp, không tự động loại ứng viên</t>
  </si>
  <si>
    <t>S5-10</t>
  </si>
  <si>
    <t>Là Nhân viên tuyển dụng, tôi muốn được nhắc khi công việc quá hạn SLA, để không để hồ sơ nằm im ba ngày mà chưa ai đọc.</t>
  </si>
  <si>
    <t>• Cấu hình ngưỡng SLA cho từng giai đoạn, ví dụ hồ sơ mới phải sàng lọc trong 3 ngày
• Quá hạn thì hồ sơ được gắn cờ và recruiter nhận nhắc việc
• Tác vụ định kỳ chạy mỗi ngày một lần, không nhắc trùng trong cùng ngày</t>
  </si>
  <si>
    <t>SPRINT 6 — Đặt lịch phỏng vấn và phiếu đánh giá   ·   9 story · 43 point</t>
  </si>
  <si>
    <t>Sprint Goal: Recruiter đặt được lịch phỏng vấn mà không trùng lịch người phỏng vấn, ứng viên nhận và xác nhận thư mời, người phỏng vấn nộp phiếu đánh giá theo đúng khung năng lực của chức danh.</t>
  </si>
  <si>
    <t>S6-01</t>
  </si>
  <si>
    <t>Là Nhân viên tuyển dụng, tôi muốn xuất danh sách ứng viên ra tệp Excel, để gửi danh sách rút gọn cho trưởng bộ phận theo mẫu họ quen xem.</t>
  </si>
  <si>
    <t>• Xuất theo bộ lọc đang áp dụng
• Tệp không chứa ghi chú nội bộ nhạy cảm
• Tên tệp chứa mã vị trí và ngày xuất</t>
  </si>
  <si>
    <t>S6-02</t>
  </si>
  <si>
    <t>Là Nhân viên tuyển dụng, tôi muốn đặt lịch phỏng vấn cho một ứng viên, để chốt được lịch trong một lần thao tác thay vì gọi điện qua lại ba bên.</t>
  </si>
  <si>
    <t>• Chọn vòng phỏng vấn, ngày giờ, thời lượng, hình thức (trực tiếp hoặc trực tuyến), phòng hoặc liên kết họp
• Chọn một hoặc nhiều người phỏng vấn
• Không đặt được lịch ở quá khứ
• Lịch được tạo hiển thị ngay trên hồ sơ ứng viên và trên lịch của người phỏng vấn</t>
  </si>
  <si>
    <t>S6-03</t>
  </si>
  <si>
    <t>Là Nhân viên tuyển dụng, tôi muốn đặt lịch hàng loạt cho nhiều ứng viên trong cùng một vòng, để tổ chức được một buổi phỏng vấn tập trung 10 ứng viên trong một buổi chiều.</t>
  </si>
  <si>
    <t>• Chọn nhiều ứng viên và một khung giờ, hệ thống chia khe thời gian liên tiếp
• Xem trước toàn bộ khe giờ trước khi xác nhận
• Thư mời được gửi cho từng ứng viên với đúng khe giờ của họ</t>
  </si>
  <si>
    <t>S6-04</t>
  </si>
  <si>
    <t>Là Nhân viên tuyển dụng, tôi muốn được cảnh báo khi người phỏng vấn hoặc phòng họp bị trùng lịch, để không để một người bị mời vào hai buổi phỏng vấn cùng giờ.</t>
  </si>
  <si>
    <t>• Kiểm tra trùng theo từng người phỏng vấn và theo phòng trong cùng khung giờ
• Hiển thị rõ buổi nào đang xung đột với buổi nào
• Trùng là lỗi chặn, không cho lưu, trừ khi recruiter xác nhận ghi đè kèm lý do</t>
  </si>
  <si>
    <t>S6-05</t>
  </si>
  <si>
    <t>Là Ứng viên, tôi muốn nhận thư mời phỏng vấn và xác nhận tham dự, để chắc chắn về thời gian địa điểm và báo trước nếu không tới được.</t>
  </si>
  <si>
    <t>• Email chứa thời gian, địa điểm hoặc liên kết họp, tên vị trí, hướng dẫn chuẩn bị
• Ứng viên bấm xác nhận hoặc đề nghị đổi lịch qua liên kết trong thư
• Trạng thái xác nhận hiển thị cho recruiter
• Liên kết chỉ dùng được cho đúng buổi phỏng vấn đó</t>
  </si>
  <si>
    <t>S6-06</t>
  </si>
  <si>
    <t>Là Nhân viên tuyển dụng, tôi muốn dời hoặc huỷ một buổi phỏng vấn, để xử lý được tình huống người phỏng vấn bận đột xuất mà mọi bên đều biết.</t>
  </si>
  <si>
    <t>• Đổi được ngày giờ, hình thức và danh sách người phỏng vấn
• Huỷ bắt buộc nhập lý do
• Ứng viên và toàn bộ người phỏng vấn nhận được thông báo thay đổi
• Không sửa được buổi đã có phiếu đánh giá nộp</t>
  </si>
  <si>
    <t>S6-07</t>
  </si>
  <si>
    <t>Là Trưởng phòng Nhân sự, tôi muốn có phiếu đánh giá sinh tự động theo khung năng lực của chức danh, để so sánh được ứng viên trên cùng một thước đo.</t>
  </si>
  <si>
    <t>• Phiếu gồm đúng các tiêu chí và trọng số đã khai báo ở khung năng lực
• Mỗi tiêu chí chấm theo thang 1–5 kèm ô nhận xét
• Điểm tổng tính tự động theo trọng số
• Khung năng lực thay đổi không làm hỏng các phiếu đã nộp trước đó</t>
  </si>
  <si>
    <t>S6-08</t>
  </si>
  <si>
    <t>Là Người phỏng vấn, tôi muốn nộp phiếu đánh giá sau buổi phỏng vấn, để ghi lại nhận định khi còn nhớ rõ thay vì trả lời qua chat vài ngày sau.</t>
  </si>
  <si>
    <t>• Chỉ người phỏng vấn được mời mới mở được phiếu của buổi đó
• Bắt buộc chọn kết luận: Nên tuyển, Cân nhắc, Không nên tuyển
• Đã nộp thì không sửa được, trừ khi recruiter mở lại trong 24 giờ
• Không nhìn thấy đánh giá của người khác trước khi nộp phiếu của mình</t>
  </si>
  <si>
    <t>S6-09</t>
  </si>
  <si>
    <t>Là Trưởng bộ phận, tôi muốn so sánh các ứng viên của cùng một vị trí theo điểm đánh giá, để chọn người dựa trên tiêu chí thay vì ấn tượng cá nhân.</t>
  </si>
  <si>
    <t>• Bảng so sánh hiển thị điểm từng tiêu chí của các ứng viên vào vòng cuối
• Sắp xếp theo điểm tổng
• Chỉ hiện ứng viên đã có tối thiểu một phiếu đánh giá đã nộp</t>
  </si>
  <si>
    <t>SPRINT 7 — Quyết định tuyển, offer và onboarding   ·   9 story · 42 point</t>
  </si>
  <si>
    <t>Sprint Goal: Quyết định tuyển được chuyển thành một offer đi qua đúng cấp duyệt theo hạn mức lương, ứng viên nhận thư và phản hồi, và checklist ngày đầu được khởi tạo.</t>
  </si>
  <si>
    <t>S7-01</t>
  </si>
  <si>
    <t>Là Người phỏng vấn, tôi muốn xem lịch phỏng vấn của riêng mình, để chuẩn bị trước khi bước vào phòng thay vì bị gọi đột ngột.</t>
  </si>
  <si>
    <t>• Hiển thị các buổi sắp tới kèm tên ứng viên, vị trí, liên kết mở CV
• Đánh dấu rõ buổi nào chưa nộp phiếu đánh giá
• Chỉ thấy buổi mình được mời</t>
  </si>
  <si>
    <t>S7-02</t>
  </si>
  <si>
    <t>Là Người phỏng vấn, tôi muốn xem bộ câu hỏi gợi ý ngay trong màn hình phỏng vấn, để hỏi đủ các tiêu chí cần đánh giá dù mới tham gia hội đồng lần đầu.</t>
  </si>
  <si>
    <t>• Câu hỏi được lọc theo chức danh và theo tiêu chí trong phiếu đánh giá
• Đánh dấu câu đã hỏi để không hỏi trùng với vòng trước
• Xem được gợi ý câu trả lời tốt</t>
  </si>
  <si>
    <t>S7-03</t>
  </si>
  <si>
    <t>Là Trưởng bộ phận, tôi muốn tổng hợp kết quả nhiều vòng và ra quyết định tuyển, để quyết định dựa trên toàn bộ dữ liệu thay vì chỉ ấn tượng vòng cuối.</t>
  </si>
  <si>
    <t>• Một màn hình gộp toàn bộ phiếu đánh giá của mọi vòng cho một ứng viên
• Hiển thị điểm trung bình theo tiêu chí và các kết luận
• Chọn quyết định: Chuyển sang đề xuất offer, hoặc Loại kèm lý do
• Quyết định được ghi nhật ký kèm người quyết định</t>
  </si>
  <si>
    <t>S7-04</t>
  </si>
  <si>
    <t>Là Nhân viên tuyển dụng, tôi muốn soạn đề xuất offer cho ứng viên, để gửi được đề nghị chính thức trong ngày ra quyết định.</t>
  </si>
  <si>
    <t>• Khai báo chức danh, mức lương, phụ cấp, ngày dự kiến nhận việc, thời hạn phản hồi
• Mức lương ngoài dải chuẩn của chức danh bắt buộc nhập giải trình
• Lưu nháp và xem trước thư offer trước khi gửi duyệt
• Một ứng viên tại một thời điểm chỉ có một offer đang hiệu lực</t>
  </si>
  <si>
    <t>S7-05</t>
  </si>
  <si>
    <t>Là Người duyệt, tôi muốn duyệt offer theo hạn mức lương, để kiểm soát quỹ lương mà không làm chậm quá trình tuyển.</t>
  </si>
  <si>
    <t>• Offer trong dải chuẩn do Trưởng phòng Nhân sự duyệt; vượt dải chuẩn tự động thêm cấp duyệt cao hơn
• Ba hành động: Duyệt, Từ chối, Yêu cầu sửa — hai hành động sau bắt buộc nhập ý kiến
• Lịch sử duyệt không sửa và không xoá được</t>
  </si>
  <si>
    <t>S7-06</t>
  </si>
  <si>
    <t>Là Ứng viên, tôi muốn nhận thư mời nhận việc và phản hồi, để xem lại điều khoản và trả lời chính thức thay vì trao đổi miệng.</t>
  </si>
  <si>
    <t>• Email chứa nội dung offer và liên kết phản hồi có hiệu lực tới hết thời hạn
• Ứng viên chọn Chấp nhận hoặc Từ chối, có ô ghi ý kiến
• Phản hồi cập nhật ngay trạng thái trên pipeline
• Quá thời hạn mà không phản hồi thì offer tự chuyển sang Hết hạn</t>
  </si>
  <si>
    <t>S7-07</t>
  </si>
  <si>
    <t>Là Nhân viên tuyển dụng, tôi muốn xử lý ứng viên từ chối offer hoặc thương lượng lại, để biết vì sao mất người để điều chỉnh chính sách lương.</t>
  </si>
  <si>
    <t>• Ghi lý do từ chối theo danh mục: lương, địa điểm, nhận việc nơi khác, lý do cá nhân
• Tạo được offer sửa đổi, offer cũ chuyển sang trạng thái Đã thay thế
• Ứng viên từ chối được gợi ý đưa vào kho tiềm năng</t>
  </si>
  <si>
    <t>S7-08</t>
  </si>
  <si>
    <t>Là Trưởng phòng Nhân sự, tôi muốn khởi tạo checklist onboarding cho người đã nhận việc, để người mới có đủ tài khoản và thiết bị ngay ngày đầu đi làm.</t>
  </si>
  <si>
    <t>• Checklist sinh từ mẫu theo phòng ban: tài khoản, thiết bị, chỗ ngồi, hồ sơ giấy tờ
• Mỗi mục có người phụ trách và hạn hoàn thành
• Tiến độ hoàn thành hiển thị theo phần trăm
• Ứng viên nhận việc chuyển sang trạng thái Đã onboard khi checklist xong</t>
  </si>
  <si>
    <t>S7-09</t>
  </si>
  <si>
    <t>Là Nhân viên tuyển dụng, tôi muốn gửi thư cảm ơn và thư từ chối hàng loạt, để không để ứng viên trượt rơi vào im lặng, giữ được thiện cảm với công ty.</t>
  </si>
  <si>
    <t>• Chọn nhiều ứng viên cùng trạng thái để gửi một lượt
• Xem trước nội dung thư với dữ liệu thật của từng người trước khi gửi
• Hệ thống chặn gửi trùng cho ứng viên đã nhận thư từ chối</t>
  </si>
  <si>
    <t>SPRINT 8 — Email tự động, thông báo và báo cáo tuyển dụng   ·   9 story · 44 point</t>
  </si>
  <si>
    <t>Sprint Goal: Trưởng phòng Nhân sự mở một màn hình là biết toàn bộ hoạt động tuyển dụng đang ở đâu, và ứng viên nhận được phản hồi tự động ở mọi giai đoạn.</t>
  </si>
  <si>
    <t>S8-01</t>
  </si>
  <si>
    <t>Là Trưởng phòng Nhân sự, tôi muốn cấu hình mẫu email tự động theo giai đoạn, để ứng viên luôn nhận được phản hồi đúng lúc mà recruiter không phải soạn tay.</t>
  </si>
  <si>
    <t>• Mẫu cho: xác nhận đã nhận hồ sơ, mời phỏng vấn, cảm ơn sau phỏng vấn, thư từ chối, thư offer
• Mẫu chèn được biến: tên ứng viên, tên vị trí, thời gian phỏng vấn
• Xem trước với dữ liệu thật trước khi lưu
• Bật hoặc tắt gửi tự động cho từng loại</t>
  </si>
  <si>
    <t>S8-02</t>
  </si>
  <si>
    <t>Là Nhân viên tuyển dụng, tôi muốn xem nhật ký email đã gửi cho ứng viên, để biết ứng viên đã nhận được thư chưa khi họ nói không thấy gì.</t>
  </si>
  <si>
    <t>• Hiển thị thời điểm gửi, mẫu đã dùng, trạng thái gửi thành công hay thất bại
• Gửi lại được thư thất bại
• Email được gửi bất đồng bộ qua hàng đợi, không làm chậm thao tác gốc</t>
  </si>
  <si>
    <t>S8-03</t>
  </si>
  <si>
    <t>Là nhân sự nội bộ, tôi muốn nhận thông báo trong ứng dụng cho các sự kiện quan trọng, để không bỏ lỡ yêu cầu chờ mình duyệt hay lời mời phỏng vấn.</t>
  </si>
  <si>
    <t>• Kích hoạt khi: có yêu cầu chờ mình duyệt, được phân công vị trí mới, được mời phỏng vấn, ứng viên phản hồi offer
• Biểu tượng chuông hiển thị số thông báo chưa đọc
• Bấm vào thông báo mở đúng màn hình liên quan
• Thông báo sinh bất đồng bộ, không làm chậm thao tác gốc</t>
  </si>
  <si>
    <t>S8-04</t>
  </si>
  <si>
    <t>Là nhân sự nội bộ, tôi muốn bật hoặc tắt từng loại thông báo cho riêng mình, để không bị ngập email khi tôi chỉ tham gia phỏng vấn thỉnh thoảng.</t>
  </si>
  <si>
    <t>• Cấu hình riêng cho kênh trong ứng dụng và kênh email
• Thông báo bắt buộc như yêu cầu chờ duyệt thì không tắt được</t>
  </si>
  <si>
    <t>S8-05</t>
  </si>
  <si>
    <t>Là Trưởng phòng Nhân sự, tôi muốn xem dashboard tổng quan hoạt động tuyển dụng, để nắm tình hình toàn bộ vị trí đang tuyển trong hai phút mỗi sáng.</t>
  </si>
  <si>
    <t>• Thẻ chỉ số: vị trí đang mở, hồ sơ mới trong tuần, phỏng vấn sắp tới, offer đang chờ phản hồi
• Biểu đồ số hồ sơ theo tuần và số vị trí đóng theo tháng
• Danh sách vị trí trễ hạn so với ngày cần người, xếp theo mức độ trễ
• Toàn bộ dữ liệu tải xong dưới 2 giây</t>
  </si>
  <si>
    <t>S8-06</t>
  </si>
  <si>
    <t>Là Trưởng bộ phận, tôi muốn xem tiến độ tuyển dụng của vị trí mình sở hữu, để trả lời được cho sếp bao giờ có người mà không phải hỏi bộ phận nhân sự.</t>
  </si>
  <si>
    <t>• Hiển thị số hồ sơ ở từng giai đoạn của riêng vị trí đó
• Lịch phỏng vấn sắp tới và ứng viên đang chờ mình cho ý kiến
• Số ngày còn lại so với ngày cần người</t>
  </si>
  <si>
    <t>S8-07</t>
  </si>
  <si>
    <t>Là Trưởng phòng Nhân sự, tôi muốn xem báo cáo phễu tuyển dụng và tỷ lệ chuyển đổi, để biết nên cải thiện khâu nào để tuyển nhanh hơn.</t>
  </si>
  <si>
    <t>• Số ứng viên ở từng giai đoạn và tỷ lệ chuyển đổi giữa các giai đoạn
• Lọc theo vị trí, phòng ban, khoảng thời gian
• Chỉ ra giai đoạn rơi rụng nhiều nhất</t>
  </si>
  <si>
    <t>S8-08</t>
  </si>
  <si>
    <t>Là Trưởng phòng Nhân sự, tôi muốn xem báo cáo thời gian và chi phí tuyển dụng, để báo cáo hiệu quả tuyển dụng cho ban giám đốc bằng số liệu.</t>
  </si>
  <si>
    <t>• Time-to-hire: số ngày trung bình từ khi duyệt yêu cầu tới khi ứng viên nhận việc
• Cost-per-hire tính từ chi phí đăng tin và thưởng giới thiệu nhập tay
• So sánh giữa các phòng ban và giữa các chức danh
• Xuất Excel</t>
  </si>
  <si>
    <t>S8-09</t>
  </si>
  <si>
    <t>Là Trưởng phòng Nhân sự, tôi muốn xem báo cáo hiệu quả từng nguồn ứng viên, để dồn ngân sách vào nguồn cho ứng viên chất lượng thay vì nguồn cho nhiều hồ sơ.</t>
  </si>
  <si>
    <t>• Số hồ sơ, tỷ lệ qua sàng lọc và số người nhận việc theo từng nguồn
• Chỉ ra nguồn nào cho ứng viên chất lượng nhất chứ không chỉ nhiều nhất
• Xuất Excel</t>
  </si>
  <si>
    <t>TỔNG CỘNG</t>
  </si>
  <si>
    <t>KẾ HOẠCH SPRINT TỔNG THỂ</t>
  </si>
  <si>
    <t>Chủ đề</t>
  </si>
  <si>
    <t>Kết quả demo được ở cuối sprint</t>
  </si>
  <si>
    <t>Story</t>
  </si>
  <si>
    <t>Luỹ kế</t>
  </si>
  <si>
    <t>Còn lại</t>
  </si>
  <si>
    <t>Tài khoản &amp; phân quyền</t>
  </si>
  <si>
    <t>Bảy vai trò đăng nhập được và chỉ thấy đúng phần việc của mình</t>
  </si>
  <si>
    <t>Sơ đồ tổ chức, khung năng lực và một yêu cầu tuyển dụng đầu tiên</t>
  </si>
  <si>
    <t>Phê duyệt &amp; đăng tin</t>
  </si>
  <si>
    <t>Một headcount đi trọn luồng duyệt rồi thành tin tuyển dụng công khai</t>
  </si>
  <si>
    <t>Cổng ứng tuyển</t>
  </si>
  <si>
    <t>Ứng viên ngoài nộp CV trên điện thoại và tra cứu được trạng thái</t>
  </si>
  <si>
    <t>Recruiter điều phối 20 ứng viên trên một bảng kanban</t>
  </si>
  <si>
    <t>Phỏng vấn &amp; đánh giá</t>
  </si>
  <si>
    <t>Một buổi phỏng vấn được đặt lịch, gửi thư mời và có phiếu đánh giá</t>
  </si>
  <si>
    <t>Một offer được duyệt, gửi đi và ứng viên chấp nhận</t>
  </si>
  <si>
    <t>Thông báo &amp; báo cáo</t>
  </si>
  <si>
    <t>Dashboard tuyển dụng, báo cáo phễu và time-to-hire</t>
  </si>
  <si>
    <t>DEFINITION OF READY / DEFINITION OF DONE</t>
  </si>
  <si>
    <t>Definition of Ready — story được đưa vào sprint khi</t>
  </si>
  <si>
    <t>Definition of Done — story hoàn thành khi</t>
  </si>
  <si>
    <t>Viết đúng mẫu vai trò – hành động – giá trị</t>
  </si>
  <si>
    <t>Toàn bộ tiêu chí chấp nhận được kiểm chứng và đạt</t>
  </si>
  <si>
    <t>Có tiêu chí chấp nhận kiểm chứng được, không mơ hồ</t>
  </si>
  <si>
    <t>Code đã qua ít nhất một người review và được merge vào nhánh chính</t>
  </si>
  <si>
    <t>Đã được ước lượng point và cả đội cùng hiểu</t>
  </si>
  <si>
    <t>Có unit test cho tầng service, độ phủ nhánh mới ≥ 60%</t>
  </si>
  <si>
    <t>Không còn phụ thuộc chặn nào chưa xử lý</t>
  </si>
  <si>
    <t>CI xanh: build, lint, test đều pass</t>
  </si>
  <si>
    <t>Đã có thiết kế giao diện hoặc phác thảo nếu story có UI</t>
  </si>
  <si>
    <t>Đã deploy lên staging và chạy được</t>
  </si>
  <si>
    <t>Nhỏ hơn hoặc bằng 8 point; lớn hơn thì phải chẻ nhỏ</t>
  </si>
  <si>
    <t>Quyền truy cập được kiểm ở tầng server, không chỉ ẩn ở giao diện</t>
  </si>
  <si>
    <t>Giao diện hoạt động đúng ở khổ 360px</t>
  </si>
  <si>
    <t>Không còn lỗi mức Major trở lên</t>
  </si>
  <si>
    <t>PO đã nghiệm thu trên môi trường staging</t>
  </si>
  <si>
    <t>RỦI RO CHÍNH</t>
  </si>
  <si>
    <t>Rủi ro</t>
  </si>
  <si>
    <t>Cách ứng phó</t>
  </si>
  <si>
    <t>Khả năng</t>
  </si>
  <si>
    <t>Tác động</t>
  </si>
  <si>
    <t>Công việc kỹ thuật không nằm trong backlog nên bị bỏ quên</t>
  </si>
  <si>
    <t>Lập một danh sách kỹ thuật riêng ngay ở Sprint 1 và bảo vệ 15% thời lượng mỗi sprint cho nó; nếu không, nợ kỹ thuật sẽ nổ vào Sprint 6–7</t>
  </si>
  <si>
    <t>Cao</t>
  </si>
  <si>
    <t>Velocity thực của đội thấp hơn 42 pt ở hai sprint đầu</t>
  </si>
  <si>
    <t>Hiệu chỉnh lại toàn bộ kế hoạch sau Sprint 2 bằng velocity thật; các story Should và Could là phần cắt trước tiên</t>
  </si>
  <si>
    <t>Luồng phê duyệt nhiều cấp (S3-01) là state machine phức tạp hơn ước lượng</t>
  </si>
  <si>
    <t>Làm spike kỹ thuật trong Sprint 2; nếu quá khó thì hạ xuống luồng duyệt hai cấp cố định, cấu hình động để lại sau Sprint 8</t>
  </si>
  <si>
    <t>Bóc tách thông tin từ CV (S4-04) cho kết quả kém với CV tiếng Việt định dạng lạ</t>
  </si>
  <si>
    <t>Đã thiết kế để bóc tách chỉ gợi ý chứ không ghi đè; nếu chất lượng quá thấp thì bỏ story này, mất 5 point</t>
  </si>
  <si>
    <t>Thấp</t>
  </si>
  <si>
    <t>Sprint 1 tuần khiến story 8 point không kịp đóng trong một sprint</t>
  </si>
  <si>
    <t>Chẻ mọi story 8 point thành hai phần API và UI ngay ở buổi Sprint Planning</t>
  </si>
  <si>
    <t>Trung bình</t>
  </si>
  <si>
    <t>Dữ liệu ứng viên bị lộ do phân quyền sót</t>
  </si>
  <si>
    <t>Ma trận quyền được kiểm ở tầng server ngay từ Sprint 1; S8-05 dành riêng để rà soát lại toàn bộ trước khi bàn giao</t>
  </si>
  <si>
    <t>Không có vị trí tuyển dụng thật để chạy pilot</t>
  </si>
  <si>
    <t>Chuẩn bị bộ dữ liệu mô phỏng một vị trí đầy đủ từ Sprint 3 để phục vụ demo</t>
  </si>
  <si>
    <t>5 tuần (2 tháng)</t>
  </si>
  <si>
    <t>5 sprint × 1 tuần</t>
  </si>
  <si>
    <t>Demo nghiệm thu cuối Sprint 5</t>
  </si>
  <si>
    <t>8 người fullstack, full-time</t>
  </si>
  <si>
    <t>Product Backlog · Dự án thực tập · Nhóm 5 · 5 tuần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</si>
</sst>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b/>
      <sz val="18"/>
      <color rgb="FF111A19"/>
      <name val="Times New Roman"/>
    </font>
    <font>
      <sz val="12"/>
      <color theme="1"/>
      <name val="Calibri"/>
      <family val="2"/>
      <scheme val="minor"/>
    </font>
    <font>
      <i/>
      <sz val="12"/>
      <color rgb="FF6B7C77"/>
      <name val="Times New Roman"/>
    </font>
    <font>
      <b/>
      <sz val="14"/>
      <color rgb="FF2E4A8F"/>
      <name val="Times New Roman"/>
    </font>
    <font>
      <b/>
      <sz val="12"/>
      <color rgb="FFFFFFFF"/>
      <name val="Times New Roman"/>
    </font>
    <font>
      <b/>
      <sz val="12"/>
      <name val="Times New Roman"/>
    </font>
    <font>
      <b/>
      <sz val="16"/>
      <color rgb="FF111A19"/>
      <name val="Times New Roman"/>
    </font>
    <font>
      <sz val="10"/>
      <color rgb="FF2E4A8F"/>
      <name val="Times New Roman"/>
    </font>
    <font>
      <i/>
      <sz val="9"/>
      <color rgb="FF6B7C77"/>
      <name val="Times New Roman"/>
    </font>
    <font>
      <sz val="12"/>
      <color rgb="FFB9C4C0"/>
      <name val="Times New Roman"/>
    </font>
    <font>
      <sz val="12"/>
      <name val="Times New Roman"/>
    </font>
    <font>
      <b/>
      <sz val="12"/>
      <color rgb="FF2E4A8F"/>
      <name val="Times New Roman"/>
    </font>
    <font>
      <i/>
      <sz val="9"/>
      <color rgb="FF111A19"/>
      <name val="Times New Roman"/>
    </font>
    <font>
      <sz val="10"/>
      <color rgb="FF6B7C77"/>
      <name val="Times New Roman"/>
    </font>
    <font>
      <b/>
      <sz val="9"/>
      <color rgb="FF96263F"/>
      <name val="Times New Roman"/>
    </font>
    <font>
      <b/>
      <sz val="9"/>
      <color rgb="FF8E5C0C"/>
      <name val="Times New Roman"/>
    </font>
    <font>
      <b/>
      <sz val="9"/>
      <color rgb="FF6B7C77"/>
      <name val="Times New Roman"/>
    </font>
  </fonts>
  <fills count="7">
    <fill>
      <patternFill patternType="none"/>
    </fill>
    <fill>
      <patternFill patternType="gray125"/>
    </fill>
    <fill>
      <patternFill patternType="solid">
        <fgColor rgb="FF2E4A8F"/>
      </patternFill>
    </fill>
    <fill>
      <patternFill patternType="solid">
        <fgColor rgb="FFDEE5F4"/>
      </patternFill>
    </fill>
    <fill>
      <patternFill patternType="solid">
        <fgColor rgb="FFEBF0ED"/>
      </patternFill>
    </fill>
    <fill>
      <patternFill patternType="solid">
        <fgColor rgb="FFF5E9D2"/>
      </patternFill>
    </fill>
    <fill>
      <patternFill patternType="solid">
        <fgColor rgb="FFF7E0E4"/>
      </patternFill>
    </fill>
  </fills>
  <borders count="3">
    <border>
      <left/>
      <right/>
      <top/>
      <bottom/>
      <diagonal/>
    </border>
    <border>
      <left style="thin">
        <color rgb="FFD3DCD7"/>
      </left>
      <right style="thin">
        <color rgb="FFD3DCD7"/>
      </right>
      <top style="thin">
        <color rgb="FFD3DCD7"/>
      </top>
      <bottom style="thin">
        <color rgb="FFD3DCD7"/>
      </bottom>
      <diagonal/>
    </border>
    <border>
      <left/>
      <right style="thin">
        <color rgb="FFD3DCD7"/>
      </right>
      <top style="thin">
        <color rgb="FFD3DCD7"/>
      </top>
      <bottom style="thin">
        <color rgb="FFD3DCD7"/>
      </bottom>
      <diagonal/>
    </border>
  </borders>
  <cellStyleXfs count="1">
    <xf numFmtId="0" fontId="0" fillId="0" borderId="0"/>
  </cellStyleXfs>
  <cellXfs count="46">
    <xf numFmtId="0" fontId="0" fillId="0" borderId="0" xfId="0"/>
    <xf numFmtId="0" fontId="2" fillId="0" borderId="0" xfId="0" applyFont="1"/>
    <xf numFmtId="0" fontId="5" fillId="2" borderId="1" xfId="0" applyFont="1" applyFill="1" applyBorder="1" applyAlignment="1">
      <alignment horizontal="center" vertical="center" wrapText="1"/>
    </xf>
    <xf numFmtId="0" fontId="6" fillId="0" borderId="1" xfId="0" applyFont="1" applyBorder="1" applyAlignment="1">
      <alignment horizontal="left" vertical="top" wrapText="1"/>
    </xf>
    <xf numFmtId="0" fontId="2" fillId="0" borderId="1" xfId="0" applyFont="1" applyBorder="1" applyAlignment="1">
      <alignment horizontal="left" vertical="top" wrapText="1"/>
    </xf>
    <xf numFmtId="0" fontId="2" fillId="0" borderId="1" xfId="0" applyFont="1" applyBorder="1" applyAlignment="1">
      <alignment horizontal="center" vertical="center" wrapText="1"/>
    </xf>
    <xf numFmtId="0" fontId="8" fillId="0" borderId="1" xfId="0" applyFont="1" applyBorder="1" applyAlignment="1">
      <alignment horizontal="left" vertical="top" wrapText="1"/>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6" fillId="3" borderId="1" xfId="0" applyFont="1" applyFill="1" applyBorder="1" applyAlignment="1">
      <alignment horizontal="center" vertical="center" wrapText="1"/>
    </xf>
    <xf numFmtId="0" fontId="11" fillId="5" borderId="1" xfId="0" applyFont="1" applyFill="1" applyBorder="1" applyAlignment="1">
      <alignment horizontal="center" vertical="center" wrapText="1"/>
    </xf>
    <xf numFmtId="0" fontId="12" fillId="0" borderId="1" xfId="0" applyFont="1" applyBorder="1" applyAlignment="1">
      <alignment horizontal="left" vertical="top" wrapText="1"/>
    </xf>
    <xf numFmtId="9" fontId="2" fillId="0" borderId="1" xfId="0" applyNumberFormat="1" applyFont="1" applyBorder="1" applyAlignment="1">
      <alignment horizontal="center" vertical="center" wrapText="1"/>
    </xf>
    <xf numFmtId="0" fontId="2" fillId="4" borderId="1" xfId="0" applyFont="1" applyFill="1" applyBorder="1"/>
    <xf numFmtId="0" fontId="6" fillId="4" borderId="1" xfId="0" applyFont="1" applyFill="1" applyBorder="1" applyAlignment="1">
      <alignment horizontal="center" vertical="center" wrapText="1"/>
    </xf>
    <xf numFmtId="9" fontId="2" fillId="4" borderId="1" xfId="0" applyNumberFormat="1" applyFont="1" applyFill="1" applyBorder="1" applyAlignment="1">
      <alignment horizontal="center" vertical="center" wrapText="1"/>
    </xf>
    <xf numFmtId="0" fontId="2" fillId="4" borderId="1" xfId="0" applyFont="1" applyFill="1" applyBorder="1" applyAlignment="1">
      <alignment horizontal="center" vertical="center" wrapText="1"/>
    </xf>
    <xf numFmtId="0" fontId="14" fillId="0" borderId="1" xfId="0" applyFont="1" applyBorder="1" applyAlignment="1">
      <alignment horizontal="center" vertical="center" wrapText="1"/>
    </xf>
    <xf numFmtId="0" fontId="8" fillId="0" borderId="1" xfId="0" applyFont="1" applyBorder="1" applyAlignment="1">
      <alignment horizontal="center" vertical="center" wrapText="1"/>
    </xf>
    <xf numFmtId="0" fontId="15" fillId="6" borderId="1" xfId="0" applyFont="1" applyFill="1" applyBorder="1" applyAlignment="1">
      <alignment horizontal="center" vertical="center" wrapText="1"/>
    </xf>
    <xf numFmtId="0" fontId="16" fillId="5" borderId="1" xfId="0" applyFont="1" applyFill="1" applyBorder="1" applyAlignment="1">
      <alignment horizontal="center" vertical="center" wrapText="1"/>
    </xf>
    <xf numFmtId="0" fontId="17" fillId="4" borderId="1" xfId="0" applyFont="1" applyFill="1" applyBorder="1" applyAlignment="1">
      <alignment horizontal="center" vertical="center" wrapText="1"/>
    </xf>
    <xf numFmtId="0" fontId="12" fillId="0" borderId="1" xfId="0" applyFont="1" applyBorder="1" applyAlignment="1">
      <alignment horizontal="center" vertical="center" wrapText="1"/>
    </xf>
    <xf numFmtId="0" fontId="6" fillId="0" borderId="1" xfId="0" applyFont="1" applyBorder="1" applyAlignment="1">
      <alignment horizontal="left" vertical="top" wrapText="1"/>
    </xf>
    <xf numFmtId="0" fontId="2" fillId="0" borderId="1" xfId="0" applyFont="1" applyBorder="1" applyAlignment="1">
      <alignment horizontal="left" vertical="top" wrapText="1"/>
    </xf>
    <xf numFmtId="0" fontId="2" fillId="4"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4" fillId="0" borderId="0" xfId="0" applyFont="1" applyAlignment="1">
      <alignment vertical="center"/>
    </xf>
    <xf numFmtId="0" fontId="2" fillId="0" borderId="0" xfId="0" applyFont="1"/>
    <xf numFmtId="0" fontId="2" fillId="3" borderId="0" xfId="0" applyFont="1" applyFill="1" applyAlignment="1">
      <alignment horizontal="left" vertical="top" wrapText="1"/>
    </xf>
    <xf numFmtId="0" fontId="2" fillId="0" borderId="0" xfId="0" applyFont="1" applyAlignment="1">
      <alignment horizontal="left" vertical="top" wrapText="1"/>
    </xf>
    <xf numFmtId="0" fontId="1" fillId="0" borderId="0" xfId="0" applyFont="1"/>
    <xf numFmtId="0" fontId="3" fillId="0" borderId="0" xfId="0" applyFont="1"/>
    <xf numFmtId="0" fontId="2" fillId="0" borderId="1" xfId="0" applyFont="1" applyBorder="1"/>
    <xf numFmtId="0" fontId="7" fillId="0" borderId="0" xfId="0" applyFont="1"/>
    <xf numFmtId="0" fontId="9" fillId="0" borderId="0" xfId="0" applyFont="1" applyAlignment="1">
      <alignment horizontal="left" vertical="top" wrapText="1"/>
    </xf>
    <xf numFmtId="0" fontId="5" fillId="2" borderId="1" xfId="0" applyFont="1" applyFill="1" applyBorder="1" applyAlignment="1">
      <alignment horizontal="center" vertical="center" wrapText="1"/>
    </xf>
    <xf numFmtId="0" fontId="2" fillId="0" borderId="2" xfId="0" applyFont="1" applyBorder="1"/>
    <xf numFmtId="0" fontId="6" fillId="4" borderId="1" xfId="0" applyFont="1" applyFill="1" applyBorder="1"/>
    <xf numFmtId="0" fontId="2" fillId="4" borderId="1" xfId="0" applyFont="1" applyFill="1" applyBorder="1"/>
    <xf numFmtId="0" fontId="5" fillId="2" borderId="0" xfId="0" applyFont="1" applyFill="1" applyAlignment="1">
      <alignment horizontal="left" vertical="center" indent="1"/>
    </xf>
    <xf numFmtId="0" fontId="13" fillId="3" borderId="0" xfId="0" applyFont="1" applyFill="1" applyAlignment="1">
      <alignment horizontal="left" vertical="center" wrapText="1" indent="1"/>
    </xf>
    <xf numFmtId="0" fontId="9" fillId="0" borderId="0" xfId="0" applyFont="1"/>
    <xf numFmtId="0" fontId="17" fillId="4" borderId="1" xfId="0" applyFont="1" applyFill="1" applyBorder="1" applyAlignment="1">
      <alignment horizontal="center" vertical="center" wrapText="1"/>
    </xf>
    <xf numFmtId="0" fontId="15" fillId="6" borderId="1" xfId="0" applyFont="1" applyFill="1" applyBorder="1" applyAlignment="1">
      <alignment horizontal="center" vertical="center" wrapText="1"/>
    </xf>
    <xf numFmtId="0" fontId="16" fillId="5" borderId="1" xfId="0" applyFont="1" applyFill="1" applyBorder="1" applyAlignment="1">
      <alignment horizontal="center" vertical="center" wrapText="1"/>
    </xf>
  </cellXfs>
  <cellStyles count="1">
    <cellStyle name="Normal" xfId="0" builtinId="0"/>
  </cellStyles>
  <dxfs count="1">
    <dxf>
      <font>
        <b/>
        <color rgb="FF96263F"/>
      </font>
      <fill>
        <patternFill patternType="solid">
          <bgColor rgb="FFF7E0E4"/>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E4A8F"/>
  </sheetPr>
  <dimension ref="A1:D78"/>
  <sheetViews>
    <sheetView showGridLines="0" tabSelected="1" workbookViewId="0">
      <pane ySplit="4" topLeftCell="A5" activePane="bottomLeft" state="frozen"/>
      <selection pane="bottomLeft" activeCell="I13" sqref="I13"/>
    </sheetView>
  </sheetViews>
  <sheetFormatPr defaultRowHeight="15" x14ac:dyDescent="0.25"/>
  <cols>
    <col min="1" max="1" width="26" customWidth="1"/>
    <col min="2" max="2" width="34" customWidth="1"/>
    <col min="3" max="3" width="58" customWidth="1"/>
    <col min="4" max="4" width="28" customWidth="1"/>
  </cols>
  <sheetData>
    <row r="1" spans="1:4" ht="30" customHeight="1" x14ac:dyDescent="0.3">
      <c r="A1" s="31" t="s">
        <v>0</v>
      </c>
      <c r="B1" s="28"/>
      <c r="C1" s="28"/>
      <c r="D1" s="28"/>
    </row>
    <row r="2" spans="1:4" ht="15.75" x14ac:dyDescent="0.25">
      <c r="A2" s="32" t="s">
        <v>553</v>
      </c>
      <c r="B2" s="28"/>
      <c r="C2" s="28"/>
      <c r="D2" s="28"/>
    </row>
    <row r="3" spans="1:4" ht="15.75" x14ac:dyDescent="0.25">
      <c r="A3" s="1"/>
      <c r="B3" s="1"/>
      <c r="C3" s="1"/>
      <c r="D3" s="1"/>
    </row>
    <row r="4" spans="1:4" ht="24" customHeight="1" x14ac:dyDescent="0.25">
      <c r="A4" s="27" t="s">
        <v>1</v>
      </c>
      <c r="B4" s="28"/>
      <c r="C4" s="28"/>
      <c r="D4" s="28"/>
    </row>
    <row r="5" spans="1:4" ht="30" customHeight="1" x14ac:dyDescent="0.25">
      <c r="A5" s="2" t="s">
        <v>2</v>
      </c>
      <c r="B5" s="2" t="s">
        <v>3</v>
      </c>
      <c r="C5" s="2" t="s">
        <v>4</v>
      </c>
      <c r="D5" s="2"/>
    </row>
    <row r="6" spans="1:4" ht="15.75" x14ac:dyDescent="0.25">
      <c r="A6" s="3" t="s">
        <v>5</v>
      </c>
      <c r="B6" s="4" t="s">
        <v>549</v>
      </c>
      <c r="C6" s="4" t="s">
        <v>6</v>
      </c>
      <c r="D6" s="4"/>
    </row>
    <row r="7" spans="1:4" ht="15.75" x14ac:dyDescent="0.25">
      <c r="A7" s="3" t="s">
        <v>7</v>
      </c>
      <c r="B7" s="4" t="s">
        <v>550</v>
      </c>
      <c r="C7" s="4" t="s">
        <v>8</v>
      </c>
      <c r="D7" s="4"/>
    </row>
    <row r="8" spans="1:4" ht="31.5" x14ac:dyDescent="0.25">
      <c r="A8" s="3" t="s">
        <v>9</v>
      </c>
      <c r="B8" s="4" t="s">
        <v>10</v>
      </c>
      <c r="C8" s="4" t="s">
        <v>11</v>
      </c>
      <c r="D8" s="4"/>
    </row>
    <row r="9" spans="1:4" ht="15.75" x14ac:dyDescent="0.25">
      <c r="A9" s="3" t="s">
        <v>12</v>
      </c>
      <c r="B9" s="4" t="s">
        <v>13</v>
      </c>
      <c r="C9" s="4" t="s">
        <v>14</v>
      </c>
      <c r="D9" s="4"/>
    </row>
    <row r="10" spans="1:4" ht="15.75" x14ac:dyDescent="0.25">
      <c r="A10" s="3" t="s">
        <v>15</v>
      </c>
      <c r="B10" s="4" t="s">
        <v>16</v>
      </c>
      <c r="C10" s="4" t="s">
        <v>17</v>
      </c>
      <c r="D10" s="4"/>
    </row>
    <row r="11" spans="1:4" ht="15.75" x14ac:dyDescent="0.25">
      <c r="A11" s="3" t="s">
        <v>18</v>
      </c>
      <c r="B11" s="4" t="s">
        <v>19</v>
      </c>
      <c r="C11" s="4"/>
      <c r="D11" s="4"/>
    </row>
    <row r="12" spans="1:4" ht="15.75" x14ac:dyDescent="0.25">
      <c r="A12" s="3" t="s">
        <v>20</v>
      </c>
      <c r="B12" s="4" t="s">
        <v>552</v>
      </c>
      <c r="C12" s="4" t="s">
        <v>21</v>
      </c>
      <c r="D12" s="4"/>
    </row>
    <row r="13" spans="1:4" ht="15.75" x14ac:dyDescent="0.25">
      <c r="A13" s="3" t="s">
        <v>22</v>
      </c>
      <c r="B13" s="4" t="s">
        <v>23</v>
      </c>
      <c r="C13" s="4" t="s">
        <v>24</v>
      </c>
      <c r="D13" s="4"/>
    </row>
    <row r="14" spans="1:4" ht="15.75" x14ac:dyDescent="0.25">
      <c r="A14" s="1"/>
      <c r="B14" s="1"/>
      <c r="C14" s="1"/>
      <c r="D14" s="1"/>
    </row>
    <row r="15" spans="1:4" ht="24" customHeight="1" x14ac:dyDescent="0.25">
      <c r="A15" s="27" t="s">
        <v>25</v>
      </c>
      <c r="B15" s="28"/>
      <c r="C15" s="28"/>
      <c r="D15" s="28"/>
    </row>
    <row r="16" spans="1:4" ht="45.95" customHeight="1" x14ac:dyDescent="0.25">
      <c r="A16" s="30" t="s">
        <v>26</v>
      </c>
      <c r="B16" s="28"/>
      <c r="C16" s="28"/>
      <c r="D16" s="28"/>
    </row>
    <row r="17" spans="1:4" ht="30" customHeight="1" x14ac:dyDescent="0.25">
      <c r="A17" s="2" t="s">
        <v>27</v>
      </c>
      <c r="B17" s="2" t="s">
        <v>28</v>
      </c>
      <c r="C17" s="2"/>
      <c r="D17" s="2"/>
    </row>
    <row r="18" spans="1:4" ht="32.1" customHeight="1" x14ac:dyDescent="0.25">
      <c r="A18" s="5">
        <v>1</v>
      </c>
      <c r="B18" s="24" t="s">
        <v>29</v>
      </c>
      <c r="C18" s="24"/>
      <c r="D18" s="24"/>
    </row>
    <row r="19" spans="1:4" ht="32.1" customHeight="1" x14ac:dyDescent="0.25">
      <c r="A19" s="5">
        <v>2</v>
      </c>
      <c r="B19" s="24" t="s">
        <v>30</v>
      </c>
      <c r="C19" s="24"/>
      <c r="D19" s="24"/>
    </row>
    <row r="20" spans="1:4" ht="32.1" customHeight="1" x14ac:dyDescent="0.25">
      <c r="A20" s="5">
        <v>3</v>
      </c>
      <c r="B20" s="24" t="s">
        <v>31</v>
      </c>
      <c r="C20" s="24"/>
      <c r="D20" s="24"/>
    </row>
    <row r="21" spans="1:4" ht="32.1" customHeight="1" x14ac:dyDescent="0.25">
      <c r="A21" s="5">
        <v>4</v>
      </c>
      <c r="B21" s="24" t="s">
        <v>32</v>
      </c>
      <c r="C21" s="24"/>
      <c r="D21" s="24"/>
    </row>
    <row r="22" spans="1:4" ht="32.1" customHeight="1" x14ac:dyDescent="0.25">
      <c r="A22" s="5">
        <v>5</v>
      </c>
      <c r="B22" s="24" t="s">
        <v>33</v>
      </c>
      <c r="C22" s="24"/>
      <c r="D22" s="24"/>
    </row>
    <row r="23" spans="1:4" ht="15.75" x14ac:dyDescent="0.25">
      <c r="A23" s="1"/>
      <c r="B23" s="1"/>
      <c r="C23" s="1"/>
      <c r="D23" s="1"/>
    </row>
    <row r="24" spans="1:4" ht="24" customHeight="1" x14ac:dyDescent="0.25">
      <c r="A24" s="27" t="s">
        <v>34</v>
      </c>
      <c r="B24" s="28"/>
      <c r="C24" s="28"/>
      <c r="D24" s="28"/>
    </row>
    <row r="25" spans="1:4" ht="86.1" customHeight="1" x14ac:dyDescent="0.25">
      <c r="A25" s="29" t="s">
        <v>35</v>
      </c>
      <c r="B25" s="28"/>
      <c r="C25" s="28"/>
      <c r="D25" s="28"/>
    </row>
    <row r="26" spans="1:4" ht="15.75" x14ac:dyDescent="0.25">
      <c r="A26" s="1"/>
      <c r="B26" s="1"/>
      <c r="C26" s="1"/>
      <c r="D26" s="1"/>
    </row>
    <row r="27" spans="1:4" ht="24" customHeight="1" x14ac:dyDescent="0.25">
      <c r="A27" s="27" t="s">
        <v>36</v>
      </c>
      <c r="B27" s="28"/>
      <c r="C27" s="28"/>
      <c r="D27" s="28"/>
    </row>
    <row r="28" spans="1:4" ht="30" customHeight="1" x14ac:dyDescent="0.25">
      <c r="A28" s="2" t="s">
        <v>37</v>
      </c>
      <c r="B28" s="2" t="s">
        <v>38</v>
      </c>
      <c r="C28" s="2"/>
      <c r="D28" s="2" t="s">
        <v>39</v>
      </c>
    </row>
    <row r="29" spans="1:4" ht="33.950000000000003" customHeight="1" x14ac:dyDescent="0.25">
      <c r="A29" s="4" t="s">
        <v>40</v>
      </c>
      <c r="B29" s="24" t="s">
        <v>41</v>
      </c>
      <c r="C29" s="24"/>
      <c r="D29" s="4" t="s">
        <v>551</v>
      </c>
    </row>
    <row r="30" spans="1:4" ht="33.950000000000003" customHeight="1" x14ac:dyDescent="0.25">
      <c r="A30" s="4" t="s">
        <v>42</v>
      </c>
      <c r="B30" s="24" t="s">
        <v>43</v>
      </c>
      <c r="C30" s="24"/>
      <c r="D30" s="4" t="s">
        <v>44</v>
      </c>
    </row>
    <row r="31" spans="1:4" ht="33.950000000000003" customHeight="1" x14ac:dyDescent="0.25">
      <c r="A31" s="4" t="s">
        <v>45</v>
      </c>
      <c r="B31" s="24" t="s">
        <v>46</v>
      </c>
      <c r="C31" s="24"/>
      <c r="D31" s="4" t="s">
        <v>47</v>
      </c>
    </row>
    <row r="32" spans="1:4" ht="33.950000000000003" customHeight="1" x14ac:dyDescent="0.25">
      <c r="A32" s="4" t="s">
        <v>48</v>
      </c>
      <c r="B32" s="24" t="s">
        <v>49</v>
      </c>
      <c r="C32" s="24"/>
      <c r="D32" s="4" t="s">
        <v>50</v>
      </c>
    </row>
    <row r="33" spans="1:4" ht="33.950000000000003" customHeight="1" x14ac:dyDescent="0.25">
      <c r="A33" s="4" t="s">
        <v>51</v>
      </c>
      <c r="B33" s="24" t="s">
        <v>52</v>
      </c>
      <c r="C33" s="24"/>
      <c r="D33" s="4" t="s">
        <v>53</v>
      </c>
    </row>
    <row r="34" spans="1:4" ht="15.75" x14ac:dyDescent="0.25">
      <c r="A34" s="1"/>
      <c r="B34" s="1"/>
      <c r="C34" s="1"/>
      <c r="D34" s="1"/>
    </row>
    <row r="35" spans="1:4" ht="24" customHeight="1" x14ac:dyDescent="0.25">
      <c r="A35" s="27" t="s">
        <v>54</v>
      </c>
      <c r="B35" s="28"/>
      <c r="C35" s="28"/>
      <c r="D35" s="28"/>
    </row>
    <row r="36" spans="1:4" ht="30" customHeight="1" x14ac:dyDescent="0.25">
      <c r="A36" s="2" t="s">
        <v>55</v>
      </c>
      <c r="B36" s="2"/>
      <c r="C36" s="2" t="s">
        <v>56</v>
      </c>
      <c r="D36" s="2"/>
    </row>
    <row r="37" spans="1:4" ht="27.95" customHeight="1" x14ac:dyDescent="0.25">
      <c r="A37" s="26" t="s">
        <v>57</v>
      </c>
      <c r="B37" s="24"/>
      <c r="C37" s="25" t="s">
        <v>58</v>
      </c>
      <c r="D37" s="24"/>
    </row>
    <row r="38" spans="1:4" ht="27.95" customHeight="1" x14ac:dyDescent="0.25">
      <c r="A38" s="26" t="s">
        <v>59</v>
      </c>
      <c r="B38" s="24"/>
      <c r="C38" s="25" t="s">
        <v>60</v>
      </c>
      <c r="D38" s="24"/>
    </row>
    <row r="39" spans="1:4" ht="27.95" customHeight="1" x14ac:dyDescent="0.25">
      <c r="A39" s="26" t="s">
        <v>61</v>
      </c>
      <c r="B39" s="24"/>
      <c r="C39" s="25" t="s">
        <v>62</v>
      </c>
      <c r="D39" s="24"/>
    </row>
    <row r="40" spans="1:4" ht="27.95" customHeight="1" x14ac:dyDescent="0.25">
      <c r="A40" s="26" t="s">
        <v>63</v>
      </c>
      <c r="B40" s="24"/>
      <c r="C40" s="25" t="s">
        <v>64</v>
      </c>
      <c r="D40" s="24"/>
    </row>
    <row r="41" spans="1:4" ht="27.95" customHeight="1" x14ac:dyDescent="0.25">
      <c r="A41" s="26" t="s">
        <v>65</v>
      </c>
      <c r="B41" s="24"/>
      <c r="C41" s="25" t="s">
        <v>66</v>
      </c>
      <c r="D41" s="24"/>
    </row>
    <row r="42" spans="1:4" ht="27.95" customHeight="1" x14ac:dyDescent="0.25">
      <c r="A42" s="26" t="s">
        <v>67</v>
      </c>
      <c r="B42" s="24"/>
      <c r="C42" s="25" t="s">
        <v>68</v>
      </c>
      <c r="D42" s="24"/>
    </row>
    <row r="43" spans="1:4" ht="27.95" customHeight="1" x14ac:dyDescent="0.25">
      <c r="A43" s="26" t="s">
        <v>69</v>
      </c>
      <c r="B43" s="24"/>
      <c r="C43" s="25" t="s">
        <v>70</v>
      </c>
      <c r="D43" s="24"/>
    </row>
    <row r="44" spans="1:4" ht="27.95" customHeight="1" x14ac:dyDescent="0.25">
      <c r="A44" s="26" t="s">
        <v>71</v>
      </c>
      <c r="B44" s="24"/>
      <c r="C44" s="25" t="s">
        <v>72</v>
      </c>
      <c r="D44" s="24"/>
    </row>
    <row r="45" spans="1:4" ht="27.95" customHeight="1" x14ac:dyDescent="0.25">
      <c r="A45" s="26" t="s">
        <v>73</v>
      </c>
      <c r="B45" s="24"/>
      <c r="C45" s="25"/>
      <c r="D45" s="24"/>
    </row>
    <row r="46" spans="1:4" ht="27.95" customHeight="1" x14ac:dyDescent="0.25">
      <c r="A46" s="26" t="s">
        <v>74</v>
      </c>
      <c r="B46" s="24"/>
      <c r="C46" s="25"/>
      <c r="D46" s="24"/>
    </row>
    <row r="47" spans="1:4" ht="27.95" customHeight="1" x14ac:dyDescent="0.25">
      <c r="A47" s="26" t="s">
        <v>75</v>
      </c>
      <c r="B47" s="24"/>
      <c r="C47" s="25"/>
      <c r="D47" s="24"/>
    </row>
    <row r="48" spans="1:4" ht="27.95" customHeight="1" x14ac:dyDescent="0.25">
      <c r="A48" s="26" t="s">
        <v>76</v>
      </c>
      <c r="B48" s="24"/>
      <c r="C48" s="25"/>
      <c r="D48" s="24"/>
    </row>
    <row r="49" spans="1:4" ht="27.95" customHeight="1" x14ac:dyDescent="0.25">
      <c r="A49" s="26" t="s">
        <v>77</v>
      </c>
      <c r="B49" s="24"/>
      <c r="C49" s="25"/>
      <c r="D49" s="24"/>
    </row>
    <row r="50" spans="1:4" ht="27.95" customHeight="1" x14ac:dyDescent="0.25">
      <c r="A50" s="26" t="s">
        <v>78</v>
      </c>
      <c r="B50" s="24"/>
      <c r="C50" s="25"/>
      <c r="D50" s="24"/>
    </row>
    <row r="51" spans="1:4" ht="15.75" x14ac:dyDescent="0.25">
      <c r="A51" s="1"/>
      <c r="B51" s="1"/>
      <c r="C51" s="1"/>
      <c r="D51" s="1"/>
    </row>
    <row r="52" spans="1:4" ht="24" customHeight="1" x14ac:dyDescent="0.25">
      <c r="A52" s="27" t="s">
        <v>79</v>
      </c>
      <c r="B52" s="28"/>
      <c r="C52" s="28"/>
      <c r="D52" s="28"/>
    </row>
    <row r="53" spans="1:4" ht="30" customHeight="1" x14ac:dyDescent="0.25">
      <c r="A53" s="2" t="s">
        <v>80</v>
      </c>
      <c r="B53" s="2" t="s">
        <v>81</v>
      </c>
      <c r="C53" s="2" t="s">
        <v>82</v>
      </c>
      <c r="D53" s="2"/>
    </row>
    <row r="54" spans="1:4" ht="30" customHeight="1" x14ac:dyDescent="0.25">
      <c r="A54" s="3" t="s">
        <v>83</v>
      </c>
      <c r="B54" s="4" t="s">
        <v>84</v>
      </c>
      <c r="C54" s="24" t="s">
        <v>85</v>
      </c>
      <c r="D54" s="24"/>
    </row>
    <row r="55" spans="1:4" ht="30" customHeight="1" x14ac:dyDescent="0.25">
      <c r="A55" s="3" t="s">
        <v>86</v>
      </c>
      <c r="B55" s="4" t="s">
        <v>87</v>
      </c>
      <c r="C55" s="24" t="s">
        <v>88</v>
      </c>
      <c r="D55" s="24"/>
    </row>
    <row r="56" spans="1:4" ht="30" customHeight="1" x14ac:dyDescent="0.25">
      <c r="A56" s="3" t="s">
        <v>89</v>
      </c>
      <c r="B56" s="4" t="s">
        <v>90</v>
      </c>
      <c r="C56" s="24" t="s">
        <v>91</v>
      </c>
      <c r="D56" s="24"/>
    </row>
    <row r="57" spans="1:4" ht="30" customHeight="1" x14ac:dyDescent="0.25">
      <c r="A57" s="3" t="s">
        <v>92</v>
      </c>
      <c r="B57" s="4" t="s">
        <v>93</v>
      </c>
      <c r="C57" s="24" t="s">
        <v>94</v>
      </c>
      <c r="D57" s="24"/>
    </row>
    <row r="58" spans="1:4" ht="30" customHeight="1" x14ac:dyDescent="0.25">
      <c r="A58" s="3" t="s">
        <v>95</v>
      </c>
      <c r="B58" s="4" t="s">
        <v>96</v>
      </c>
      <c r="C58" s="24" t="s">
        <v>97</v>
      </c>
      <c r="D58" s="24"/>
    </row>
    <row r="59" spans="1:4" ht="30" customHeight="1" x14ac:dyDescent="0.25">
      <c r="A59" s="3" t="s">
        <v>98</v>
      </c>
      <c r="B59" s="4" t="s">
        <v>99</v>
      </c>
      <c r="C59" s="24" t="s">
        <v>100</v>
      </c>
      <c r="D59" s="24"/>
    </row>
    <row r="60" spans="1:4" ht="15.75" x14ac:dyDescent="0.25">
      <c r="A60" s="1"/>
      <c r="B60" s="1"/>
      <c r="C60" s="1"/>
      <c r="D60" s="1"/>
    </row>
    <row r="61" spans="1:4" ht="24" customHeight="1" x14ac:dyDescent="0.25">
      <c r="A61" s="27" t="s">
        <v>101</v>
      </c>
      <c r="B61" s="28"/>
      <c r="C61" s="28"/>
      <c r="D61" s="28"/>
    </row>
    <row r="62" spans="1:4" ht="30" customHeight="1" x14ac:dyDescent="0.25">
      <c r="A62" s="2" t="s">
        <v>102</v>
      </c>
      <c r="B62" s="2" t="s">
        <v>103</v>
      </c>
      <c r="C62" s="2"/>
      <c r="D62" s="2"/>
    </row>
    <row r="63" spans="1:4" ht="30" customHeight="1" x14ac:dyDescent="0.25">
      <c r="A63" s="3" t="s">
        <v>104</v>
      </c>
      <c r="B63" s="24" t="s">
        <v>105</v>
      </c>
      <c r="C63" s="24"/>
      <c r="D63" s="24"/>
    </row>
    <row r="64" spans="1:4" ht="30" customHeight="1" x14ac:dyDescent="0.25">
      <c r="A64" s="3" t="s">
        <v>106</v>
      </c>
      <c r="B64" s="24" t="s">
        <v>107</v>
      </c>
      <c r="C64" s="24"/>
      <c r="D64" s="24"/>
    </row>
    <row r="65" spans="1:4" ht="30" customHeight="1" x14ac:dyDescent="0.25">
      <c r="A65" s="3" t="s">
        <v>108</v>
      </c>
      <c r="B65" s="24" t="s">
        <v>109</v>
      </c>
      <c r="C65" s="24"/>
      <c r="D65" s="24"/>
    </row>
    <row r="66" spans="1:4" ht="30" customHeight="1" x14ac:dyDescent="0.25">
      <c r="A66" s="3" t="s">
        <v>110</v>
      </c>
      <c r="B66" s="24" t="s">
        <v>111</v>
      </c>
      <c r="C66" s="24"/>
      <c r="D66" s="24"/>
    </row>
    <row r="67" spans="1:4" ht="30" customHeight="1" x14ac:dyDescent="0.25">
      <c r="A67" s="3" t="s">
        <v>112</v>
      </c>
      <c r="B67" s="24" t="s">
        <v>113</v>
      </c>
      <c r="C67" s="24"/>
      <c r="D67" s="24"/>
    </row>
    <row r="68" spans="1:4" ht="30" customHeight="1" x14ac:dyDescent="0.25">
      <c r="A68" s="3" t="s">
        <v>114</v>
      </c>
      <c r="B68" s="24" t="s">
        <v>115</v>
      </c>
      <c r="C68" s="24"/>
      <c r="D68" s="24"/>
    </row>
    <row r="69" spans="1:4" ht="30" customHeight="1" x14ac:dyDescent="0.25">
      <c r="A69" s="3" t="s">
        <v>116</v>
      </c>
      <c r="B69" s="24" t="s">
        <v>117</v>
      </c>
      <c r="C69" s="24"/>
      <c r="D69" s="24"/>
    </row>
    <row r="70" spans="1:4" ht="15.75" x14ac:dyDescent="0.25">
      <c r="A70" s="1"/>
      <c r="B70" s="1"/>
      <c r="C70" s="1"/>
      <c r="D70" s="1"/>
    </row>
    <row r="71" spans="1:4" ht="24" customHeight="1" x14ac:dyDescent="0.25">
      <c r="A71" s="27" t="s">
        <v>118</v>
      </c>
      <c r="B71" s="28"/>
      <c r="C71" s="28"/>
      <c r="D71" s="28"/>
    </row>
    <row r="72" spans="1:4" ht="30" customHeight="1" x14ac:dyDescent="0.25">
      <c r="A72" s="2" t="s">
        <v>27</v>
      </c>
      <c r="B72" s="2" t="s">
        <v>119</v>
      </c>
      <c r="C72" s="2"/>
      <c r="D72" s="2" t="s">
        <v>120</v>
      </c>
    </row>
    <row r="73" spans="1:4" ht="33.950000000000003" customHeight="1" x14ac:dyDescent="0.25">
      <c r="A73" s="5">
        <v>1</v>
      </c>
      <c r="B73" s="23" t="s">
        <v>121</v>
      </c>
      <c r="C73" s="24"/>
      <c r="D73" s="4" t="s">
        <v>122</v>
      </c>
    </row>
    <row r="74" spans="1:4" ht="33.950000000000003" customHeight="1" x14ac:dyDescent="0.25">
      <c r="A74" s="5">
        <v>2</v>
      </c>
      <c r="B74" s="23" t="s">
        <v>123</v>
      </c>
      <c r="C74" s="24"/>
      <c r="D74" s="4" t="s">
        <v>124</v>
      </c>
    </row>
    <row r="75" spans="1:4" ht="33.950000000000003" customHeight="1" x14ac:dyDescent="0.25">
      <c r="A75" s="5">
        <v>3</v>
      </c>
      <c r="B75" s="23" t="s">
        <v>125</v>
      </c>
      <c r="C75" s="24"/>
      <c r="D75" s="4" t="s">
        <v>126</v>
      </c>
    </row>
    <row r="76" spans="1:4" ht="33.950000000000003" customHeight="1" x14ac:dyDescent="0.25">
      <c r="A76" s="5">
        <v>4</v>
      </c>
      <c r="B76" s="23" t="s">
        <v>127</v>
      </c>
      <c r="C76" s="24"/>
      <c r="D76" s="4" t="s">
        <v>128</v>
      </c>
    </row>
    <row r="77" spans="1:4" ht="33.950000000000003" customHeight="1" x14ac:dyDescent="0.25">
      <c r="A77" s="5">
        <v>5</v>
      </c>
      <c r="B77" s="23" t="s">
        <v>129</v>
      </c>
      <c r="C77" s="24"/>
      <c r="D77" s="4" t="s">
        <v>130</v>
      </c>
    </row>
    <row r="78" spans="1:4" ht="33.950000000000003" customHeight="1" x14ac:dyDescent="0.25">
      <c r="A78" s="5">
        <v>6</v>
      </c>
      <c r="B78" s="23" t="s">
        <v>131</v>
      </c>
      <c r="C78" s="24"/>
      <c r="D78" s="4" t="s">
        <v>132</v>
      </c>
    </row>
  </sheetData>
  <mergeCells count="69">
    <mergeCell ref="A4:D4"/>
    <mergeCell ref="A49:B49"/>
    <mergeCell ref="C42:D42"/>
    <mergeCell ref="A45:B45"/>
    <mergeCell ref="C58:D58"/>
    <mergeCell ref="A52:D52"/>
    <mergeCell ref="C45:D45"/>
    <mergeCell ref="B31:C31"/>
    <mergeCell ref="A15:D15"/>
    <mergeCell ref="B77:C77"/>
    <mergeCell ref="B19:D19"/>
    <mergeCell ref="C47:D47"/>
    <mergeCell ref="C54:D54"/>
    <mergeCell ref="A41:B41"/>
    <mergeCell ref="C41:D41"/>
    <mergeCell ref="A37:B37"/>
    <mergeCell ref="A46:B46"/>
    <mergeCell ref="C44:D44"/>
    <mergeCell ref="C50:D50"/>
    <mergeCell ref="A24:D24"/>
    <mergeCell ref="C40:D40"/>
    <mergeCell ref="C55:D55"/>
    <mergeCell ref="B65:D65"/>
    <mergeCell ref="B68:D68"/>
    <mergeCell ref="A48:B48"/>
    <mergeCell ref="A1:D1"/>
    <mergeCell ref="C43:D43"/>
    <mergeCell ref="B64:D64"/>
    <mergeCell ref="B73:C73"/>
    <mergeCell ref="C46:D46"/>
    <mergeCell ref="B29:C29"/>
    <mergeCell ref="A61:D61"/>
    <mergeCell ref="B63:D63"/>
    <mergeCell ref="A2:D2"/>
    <mergeCell ref="C56:D56"/>
    <mergeCell ref="B20:D20"/>
    <mergeCell ref="A50:B50"/>
    <mergeCell ref="C59:D59"/>
    <mergeCell ref="B69:D69"/>
    <mergeCell ref="B67:D67"/>
    <mergeCell ref="A35:D35"/>
    <mergeCell ref="B78:C78"/>
    <mergeCell ref="A47:B47"/>
    <mergeCell ref="A42:B42"/>
    <mergeCell ref="A25:D25"/>
    <mergeCell ref="A16:D16"/>
    <mergeCell ref="C48:D48"/>
    <mergeCell ref="C39:D39"/>
    <mergeCell ref="B74:C74"/>
    <mergeCell ref="B30:C30"/>
    <mergeCell ref="A27:D27"/>
    <mergeCell ref="A38:B38"/>
    <mergeCell ref="C38:D38"/>
    <mergeCell ref="B33:C33"/>
    <mergeCell ref="B66:D66"/>
    <mergeCell ref="A43:B43"/>
    <mergeCell ref="B22:D22"/>
    <mergeCell ref="B76:C76"/>
    <mergeCell ref="C57:D57"/>
    <mergeCell ref="C37:D37"/>
    <mergeCell ref="B18:D18"/>
    <mergeCell ref="B32:C32"/>
    <mergeCell ref="B21:D21"/>
    <mergeCell ref="A40:B40"/>
    <mergeCell ref="A44:B44"/>
    <mergeCell ref="A71:D71"/>
    <mergeCell ref="A39:B39"/>
    <mergeCell ref="C49:D49"/>
    <mergeCell ref="B75:C75"/>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4A8F"/>
  </sheetPr>
  <dimension ref="A1:H25"/>
  <sheetViews>
    <sheetView showGridLines="0" workbookViewId="0">
      <pane ySplit="3" topLeftCell="A4" activePane="bottomLeft" state="frozen"/>
      <selection pane="bottomLeft" sqref="A1:E1"/>
    </sheetView>
  </sheetViews>
  <sheetFormatPr defaultRowHeight="15" x14ac:dyDescent="0.25"/>
  <cols>
    <col min="1" max="1" width="5" customWidth="1"/>
    <col min="2" max="2" width="22" customWidth="1"/>
    <col min="3" max="3" width="16" customWidth="1"/>
    <col min="4" max="4" width="38" customWidth="1"/>
    <col min="5" max="5" width="52" customWidth="1"/>
    <col min="6" max="9" width="12" customWidth="1"/>
  </cols>
  <sheetData>
    <row r="1" spans="1:8" ht="26.1" customHeight="1" x14ac:dyDescent="0.3">
      <c r="A1" s="34" t="s">
        <v>133</v>
      </c>
      <c r="B1" s="28"/>
      <c r="C1" s="28"/>
      <c r="D1" s="28"/>
      <c r="E1" s="28"/>
      <c r="F1" s="1"/>
      <c r="G1" s="1"/>
      <c r="H1" s="1"/>
    </row>
    <row r="2" spans="1:8" ht="15.75" x14ac:dyDescent="0.25">
      <c r="A2" s="1"/>
      <c r="B2" s="1"/>
      <c r="C2" s="1"/>
      <c r="D2" s="1"/>
      <c r="E2" s="1"/>
      <c r="F2" s="1"/>
      <c r="G2" s="1"/>
      <c r="H2" s="1"/>
    </row>
    <row r="3" spans="1:8" ht="30" customHeight="1" x14ac:dyDescent="0.25">
      <c r="A3" s="2" t="s">
        <v>27</v>
      </c>
      <c r="B3" s="2" t="s">
        <v>134</v>
      </c>
      <c r="C3" s="2" t="s">
        <v>135</v>
      </c>
      <c r="D3" s="2" t="s">
        <v>136</v>
      </c>
      <c r="E3" s="2" t="s">
        <v>137</v>
      </c>
      <c r="F3" s="1"/>
      <c r="G3" s="1"/>
      <c r="H3" s="1"/>
    </row>
    <row r="4" spans="1:8" ht="33.950000000000003" customHeight="1" x14ac:dyDescent="0.25">
      <c r="A4" s="5">
        <v>1</v>
      </c>
      <c r="B4" s="3" t="s">
        <v>138</v>
      </c>
      <c r="C4" s="6" t="s">
        <v>139</v>
      </c>
      <c r="D4" s="4" t="s">
        <v>140</v>
      </c>
      <c r="E4" s="4" t="s">
        <v>141</v>
      </c>
      <c r="F4" s="1"/>
      <c r="G4" s="1"/>
      <c r="H4" s="1"/>
    </row>
    <row r="5" spans="1:8" ht="33.950000000000003" customHeight="1" x14ac:dyDescent="0.25">
      <c r="A5" s="5">
        <v>2</v>
      </c>
      <c r="B5" s="3" t="s">
        <v>142</v>
      </c>
      <c r="C5" s="6" t="s">
        <v>143</v>
      </c>
      <c r="D5" s="4" t="s">
        <v>144</v>
      </c>
      <c r="E5" s="4" t="s">
        <v>145</v>
      </c>
      <c r="F5" s="1"/>
      <c r="G5" s="1"/>
      <c r="H5" s="1"/>
    </row>
    <row r="6" spans="1:8" ht="33.950000000000003" customHeight="1" x14ac:dyDescent="0.25">
      <c r="A6" s="5">
        <v>3</v>
      </c>
      <c r="B6" s="3" t="s">
        <v>146</v>
      </c>
      <c r="C6" s="6" t="s">
        <v>147</v>
      </c>
      <c r="D6" s="4" t="s">
        <v>148</v>
      </c>
      <c r="E6" s="4" t="s">
        <v>149</v>
      </c>
      <c r="F6" s="1"/>
      <c r="G6" s="1"/>
      <c r="H6" s="1"/>
    </row>
    <row r="7" spans="1:8" ht="33.950000000000003" customHeight="1" x14ac:dyDescent="0.25">
      <c r="A7" s="5">
        <v>4</v>
      </c>
      <c r="B7" s="3" t="s">
        <v>150</v>
      </c>
      <c r="C7" s="6" t="s">
        <v>151</v>
      </c>
      <c r="D7" s="4" t="s">
        <v>152</v>
      </c>
      <c r="E7" s="4" t="s">
        <v>153</v>
      </c>
      <c r="F7" s="1"/>
      <c r="G7" s="1"/>
      <c r="H7" s="1"/>
    </row>
    <row r="8" spans="1:8" ht="33.950000000000003" customHeight="1" x14ac:dyDescent="0.25">
      <c r="A8" s="5">
        <v>5</v>
      </c>
      <c r="B8" s="3" t="s">
        <v>154</v>
      </c>
      <c r="C8" s="6" t="s">
        <v>155</v>
      </c>
      <c r="D8" s="4" t="s">
        <v>156</v>
      </c>
      <c r="E8" s="4" t="s">
        <v>157</v>
      </c>
      <c r="F8" s="1"/>
      <c r="G8" s="1"/>
      <c r="H8" s="1"/>
    </row>
    <row r="9" spans="1:8" ht="33.950000000000003" customHeight="1" x14ac:dyDescent="0.25">
      <c r="A9" s="5">
        <v>6</v>
      </c>
      <c r="B9" s="3" t="s">
        <v>158</v>
      </c>
      <c r="C9" s="6" t="s">
        <v>159</v>
      </c>
      <c r="D9" s="4" t="s">
        <v>160</v>
      </c>
      <c r="E9" s="4" t="s">
        <v>161</v>
      </c>
      <c r="F9" s="1"/>
      <c r="G9" s="1"/>
      <c r="H9" s="1"/>
    </row>
    <row r="10" spans="1:8" ht="33.950000000000003" customHeight="1" x14ac:dyDescent="0.25">
      <c r="A10" s="5">
        <v>7</v>
      </c>
      <c r="B10" s="3" t="s">
        <v>162</v>
      </c>
      <c r="C10" s="6" t="s">
        <v>163</v>
      </c>
      <c r="D10" s="4" t="s">
        <v>164</v>
      </c>
      <c r="E10" s="4" t="s">
        <v>165</v>
      </c>
      <c r="F10" s="1"/>
      <c r="G10" s="1"/>
      <c r="H10" s="1"/>
    </row>
    <row r="11" spans="1:8" ht="15.75" x14ac:dyDescent="0.25">
      <c r="A11" s="1"/>
      <c r="B11" s="1"/>
      <c r="C11" s="1"/>
      <c r="D11" s="1"/>
      <c r="E11" s="1"/>
      <c r="F11" s="1"/>
      <c r="G11" s="1"/>
      <c r="H11" s="1"/>
    </row>
    <row r="12" spans="1:8" ht="15.75" x14ac:dyDescent="0.25">
      <c r="A12" s="1"/>
      <c r="B12" s="1"/>
      <c r="C12" s="1"/>
      <c r="D12" s="1"/>
      <c r="E12" s="1"/>
      <c r="F12" s="1"/>
      <c r="G12" s="1"/>
      <c r="H12" s="1"/>
    </row>
    <row r="13" spans="1:8" ht="24" customHeight="1" x14ac:dyDescent="0.25">
      <c r="A13" s="27" t="s">
        <v>166</v>
      </c>
      <c r="B13" s="28"/>
      <c r="C13" s="28"/>
      <c r="D13" s="28"/>
      <c r="E13" s="28"/>
      <c r="F13" s="28"/>
      <c r="G13" s="28"/>
      <c r="H13" s="28"/>
    </row>
    <row r="14" spans="1:8" ht="26.1" customHeight="1" x14ac:dyDescent="0.25">
      <c r="A14" s="35" t="s">
        <v>167</v>
      </c>
      <c r="B14" s="28"/>
      <c r="C14" s="28"/>
      <c r="D14" s="28"/>
      <c r="E14" s="28"/>
      <c r="F14" s="28"/>
      <c r="G14" s="28"/>
      <c r="H14" s="28"/>
    </row>
    <row r="15" spans="1:8" ht="30" customHeight="1" x14ac:dyDescent="0.25">
      <c r="A15" s="36" t="s">
        <v>168</v>
      </c>
      <c r="B15" s="37"/>
      <c r="C15" s="2" t="s">
        <v>139</v>
      </c>
      <c r="D15" s="2" t="s">
        <v>151</v>
      </c>
      <c r="E15" s="2" t="s">
        <v>169</v>
      </c>
      <c r="F15" s="2" t="s">
        <v>143</v>
      </c>
      <c r="G15" s="2" t="s">
        <v>159</v>
      </c>
      <c r="H15" s="2" t="s">
        <v>155</v>
      </c>
    </row>
    <row r="16" spans="1:8" ht="20.100000000000001" customHeight="1" x14ac:dyDescent="0.25">
      <c r="A16" s="23" t="s">
        <v>170</v>
      </c>
      <c r="B16" s="33"/>
      <c r="C16" s="7" t="s">
        <v>171</v>
      </c>
      <c r="D16" s="8" t="s">
        <v>172</v>
      </c>
      <c r="E16" s="8" t="s">
        <v>172</v>
      </c>
      <c r="F16" s="8" t="s">
        <v>172</v>
      </c>
      <c r="G16" s="8" t="s">
        <v>172</v>
      </c>
      <c r="H16" s="9" t="s">
        <v>173</v>
      </c>
    </row>
    <row r="17" spans="1:8" ht="20.100000000000001" customHeight="1" x14ac:dyDescent="0.25">
      <c r="A17" s="23" t="s">
        <v>174</v>
      </c>
      <c r="B17" s="33"/>
      <c r="C17" s="7" t="s">
        <v>171</v>
      </c>
      <c r="D17" s="7" t="s">
        <v>171</v>
      </c>
      <c r="E17" s="10" t="s">
        <v>175</v>
      </c>
      <c r="F17" s="10" t="s">
        <v>176</v>
      </c>
      <c r="G17" s="10" t="s">
        <v>175</v>
      </c>
      <c r="H17" s="9" t="s">
        <v>173</v>
      </c>
    </row>
    <row r="18" spans="1:8" ht="20.100000000000001" customHeight="1" x14ac:dyDescent="0.25">
      <c r="A18" s="23" t="s">
        <v>177</v>
      </c>
      <c r="B18" s="33"/>
      <c r="C18" s="8" t="s">
        <v>172</v>
      </c>
      <c r="D18" s="7" t="s">
        <v>171</v>
      </c>
      <c r="E18" s="8" t="s">
        <v>172</v>
      </c>
      <c r="F18" s="10" t="s">
        <v>176</v>
      </c>
      <c r="G18" s="8" t="s">
        <v>172</v>
      </c>
      <c r="H18" s="9" t="s">
        <v>173</v>
      </c>
    </row>
    <row r="19" spans="1:8" ht="20.100000000000001" customHeight="1" x14ac:dyDescent="0.25">
      <c r="A19" s="23" t="s">
        <v>178</v>
      </c>
      <c r="B19" s="33"/>
      <c r="C19" s="8" t="s">
        <v>179</v>
      </c>
      <c r="D19" s="8" t="s">
        <v>179</v>
      </c>
      <c r="E19" s="8" t="s">
        <v>179</v>
      </c>
      <c r="F19" s="9" t="s">
        <v>173</v>
      </c>
      <c r="G19" s="8" t="s">
        <v>172</v>
      </c>
      <c r="H19" s="9" t="s">
        <v>173</v>
      </c>
    </row>
    <row r="20" spans="1:8" ht="20.100000000000001" customHeight="1" x14ac:dyDescent="0.25">
      <c r="A20" s="23" t="s">
        <v>180</v>
      </c>
      <c r="B20" s="33"/>
      <c r="C20" s="8" t="s">
        <v>179</v>
      </c>
      <c r="D20" s="8" t="s">
        <v>179</v>
      </c>
      <c r="E20" s="8" t="s">
        <v>179</v>
      </c>
      <c r="F20" s="9" t="s">
        <v>173</v>
      </c>
      <c r="G20" s="7" t="s">
        <v>171</v>
      </c>
      <c r="H20" s="9" t="s">
        <v>173</v>
      </c>
    </row>
    <row r="21" spans="1:8" ht="20.100000000000001" customHeight="1" x14ac:dyDescent="0.25">
      <c r="A21" s="23" t="s">
        <v>181</v>
      </c>
      <c r="B21" s="33"/>
      <c r="C21" s="7" t="s">
        <v>171</v>
      </c>
      <c r="D21" s="10" t="s">
        <v>175</v>
      </c>
      <c r="E21" s="8" t="s">
        <v>179</v>
      </c>
      <c r="F21" s="8" t="s">
        <v>172</v>
      </c>
      <c r="G21" s="8" t="s">
        <v>172</v>
      </c>
      <c r="H21" s="9" t="s">
        <v>173</v>
      </c>
    </row>
    <row r="22" spans="1:8" ht="20.100000000000001" customHeight="1" x14ac:dyDescent="0.25">
      <c r="A22" s="23" t="s">
        <v>182</v>
      </c>
      <c r="B22" s="33"/>
      <c r="C22" s="8" t="s">
        <v>179</v>
      </c>
      <c r="D22" s="7" t="s">
        <v>171</v>
      </c>
      <c r="E22" s="8" t="s">
        <v>179</v>
      </c>
      <c r="F22" s="10" t="s">
        <v>176</v>
      </c>
      <c r="G22" s="10" t="s">
        <v>175</v>
      </c>
      <c r="H22" s="9" t="s">
        <v>173</v>
      </c>
    </row>
    <row r="23" spans="1:8" ht="20.100000000000001" customHeight="1" x14ac:dyDescent="0.25">
      <c r="A23" s="23" t="s">
        <v>183</v>
      </c>
      <c r="B23" s="33"/>
      <c r="C23" s="8" t="s">
        <v>179</v>
      </c>
      <c r="D23" s="8" t="s">
        <v>179</v>
      </c>
      <c r="E23" s="8" t="s">
        <v>179</v>
      </c>
      <c r="F23" s="9" t="s">
        <v>173</v>
      </c>
      <c r="G23" s="7" t="s">
        <v>171</v>
      </c>
      <c r="H23" s="9" t="s">
        <v>173</v>
      </c>
    </row>
    <row r="24" spans="1:8" ht="20.100000000000001" customHeight="1" x14ac:dyDescent="0.25">
      <c r="A24" s="23" t="s">
        <v>184</v>
      </c>
      <c r="B24" s="33"/>
      <c r="C24" s="7" t="s">
        <v>171</v>
      </c>
      <c r="D24" s="7" t="s">
        <v>171</v>
      </c>
      <c r="E24" s="8" t="s">
        <v>179</v>
      </c>
      <c r="F24" s="8" t="s">
        <v>179</v>
      </c>
      <c r="G24" s="8" t="s">
        <v>172</v>
      </c>
      <c r="H24" s="9" t="s">
        <v>173</v>
      </c>
    </row>
    <row r="25" spans="1:8" ht="20.100000000000001" customHeight="1" x14ac:dyDescent="0.25">
      <c r="A25" s="23" t="s">
        <v>185</v>
      </c>
      <c r="B25" s="33"/>
      <c r="C25" s="7" t="s">
        <v>171</v>
      </c>
      <c r="D25" s="7" t="s">
        <v>171</v>
      </c>
      <c r="E25" s="7" t="s">
        <v>171</v>
      </c>
      <c r="F25" s="7" t="s">
        <v>171</v>
      </c>
      <c r="G25" s="7" t="s">
        <v>171</v>
      </c>
      <c r="H25" s="8" t="s">
        <v>172</v>
      </c>
    </row>
  </sheetData>
  <mergeCells count="14">
    <mergeCell ref="A25:B25"/>
    <mergeCell ref="A19:B19"/>
    <mergeCell ref="A23:B23"/>
    <mergeCell ref="A1:E1"/>
    <mergeCell ref="A14:H14"/>
    <mergeCell ref="A13:H13"/>
    <mergeCell ref="A17:B17"/>
    <mergeCell ref="A18:B18"/>
    <mergeCell ref="A22:B22"/>
    <mergeCell ref="A20:B20"/>
    <mergeCell ref="A21:B21"/>
    <mergeCell ref="A16:B16"/>
    <mergeCell ref="A24:B24"/>
    <mergeCell ref="A15:B15"/>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E4A8F"/>
  </sheetPr>
  <dimension ref="A1:G13"/>
  <sheetViews>
    <sheetView showGridLines="0" workbookViewId="0">
      <pane ySplit="3" topLeftCell="A4" activePane="bottomLeft" state="frozen"/>
      <selection pane="bottomLeft" sqref="A1:F1"/>
    </sheetView>
  </sheetViews>
  <sheetFormatPr defaultRowHeight="15" x14ac:dyDescent="0.25"/>
  <cols>
    <col min="1" max="1" width="10" customWidth="1"/>
    <col min="2" max="2" width="34" customWidth="1"/>
    <col min="3" max="3" width="62" customWidth="1"/>
    <col min="4" max="5" width="10" customWidth="1"/>
    <col min="6" max="6" width="14" customWidth="1"/>
    <col min="7" max="7" width="10" customWidth="1"/>
  </cols>
  <sheetData>
    <row r="1" spans="1:7" ht="26.1" customHeight="1" x14ac:dyDescent="0.3">
      <c r="A1" s="34" t="s">
        <v>186</v>
      </c>
      <c r="B1" s="28"/>
      <c r="C1" s="28"/>
      <c r="D1" s="28"/>
      <c r="E1" s="28"/>
      <c r="F1" s="28"/>
      <c r="G1" s="1"/>
    </row>
    <row r="2" spans="1:7" ht="15.75" x14ac:dyDescent="0.25">
      <c r="A2" s="1"/>
      <c r="B2" s="1"/>
      <c r="C2" s="1"/>
      <c r="D2" s="1"/>
      <c r="E2" s="1"/>
      <c r="F2" s="1"/>
      <c r="G2" s="1"/>
    </row>
    <row r="3" spans="1:7" ht="30" customHeight="1" x14ac:dyDescent="0.25">
      <c r="A3" s="2" t="s">
        <v>187</v>
      </c>
      <c r="B3" s="2" t="s">
        <v>188</v>
      </c>
      <c r="C3" s="2" t="s">
        <v>189</v>
      </c>
      <c r="D3" s="2" t="s">
        <v>190</v>
      </c>
      <c r="E3" s="2" t="s">
        <v>191</v>
      </c>
      <c r="F3" s="2" t="s">
        <v>192</v>
      </c>
      <c r="G3" s="2" t="s">
        <v>193</v>
      </c>
    </row>
    <row r="4" spans="1:7" ht="39.950000000000003" customHeight="1" x14ac:dyDescent="0.25">
      <c r="A4" s="11" t="s">
        <v>194</v>
      </c>
      <c r="B4" s="3" t="s">
        <v>195</v>
      </c>
      <c r="C4" s="4" t="s">
        <v>196</v>
      </c>
      <c r="D4" s="5">
        <v>52</v>
      </c>
      <c r="E4" s="12">
        <v>0.1485714285714286</v>
      </c>
      <c r="F4" s="5" t="s">
        <v>197</v>
      </c>
      <c r="G4" s="5">
        <v>13</v>
      </c>
    </row>
    <row r="5" spans="1:7" ht="39.950000000000003" customHeight="1" x14ac:dyDescent="0.25">
      <c r="A5" s="11" t="s">
        <v>198</v>
      </c>
      <c r="B5" s="3" t="s">
        <v>199</v>
      </c>
      <c r="C5" s="4" t="s">
        <v>200</v>
      </c>
      <c r="D5" s="5">
        <v>25</v>
      </c>
      <c r="E5" s="12">
        <v>7.1428571428571425E-2</v>
      </c>
      <c r="F5" s="5" t="s">
        <v>201</v>
      </c>
      <c r="G5" s="5">
        <v>5</v>
      </c>
    </row>
    <row r="6" spans="1:7" ht="39.950000000000003" customHeight="1" x14ac:dyDescent="0.25">
      <c r="A6" s="11" t="s">
        <v>202</v>
      </c>
      <c r="B6" s="3" t="s">
        <v>203</v>
      </c>
      <c r="C6" s="4" t="s">
        <v>204</v>
      </c>
      <c r="D6" s="5">
        <v>44</v>
      </c>
      <c r="E6" s="12">
        <v>0.1257142857142857</v>
      </c>
      <c r="F6" s="5" t="s">
        <v>205</v>
      </c>
      <c r="G6" s="5">
        <v>9</v>
      </c>
    </row>
    <row r="7" spans="1:7" ht="39.950000000000003" customHeight="1" x14ac:dyDescent="0.25">
      <c r="A7" s="11" t="s">
        <v>206</v>
      </c>
      <c r="B7" s="3" t="s">
        <v>207</v>
      </c>
      <c r="C7" s="4" t="s">
        <v>208</v>
      </c>
      <c r="D7" s="5">
        <v>47</v>
      </c>
      <c r="E7" s="12">
        <v>0.13428571428571431</v>
      </c>
      <c r="F7" s="5" t="s">
        <v>209</v>
      </c>
      <c r="G7" s="5">
        <v>11</v>
      </c>
    </row>
    <row r="8" spans="1:7" ht="39.950000000000003" customHeight="1" x14ac:dyDescent="0.25">
      <c r="A8" s="11" t="s">
        <v>210</v>
      </c>
      <c r="B8" s="3" t="s">
        <v>211</v>
      </c>
      <c r="C8" s="4" t="s">
        <v>212</v>
      </c>
      <c r="D8" s="5">
        <v>53</v>
      </c>
      <c r="E8" s="12">
        <v>0.15142857142857141</v>
      </c>
      <c r="F8" s="5" t="s">
        <v>213</v>
      </c>
      <c r="G8" s="5">
        <v>11</v>
      </c>
    </row>
    <row r="9" spans="1:7" ht="39.950000000000003" customHeight="1" x14ac:dyDescent="0.25">
      <c r="A9" s="11" t="s">
        <v>214</v>
      </c>
      <c r="B9" s="3" t="s">
        <v>215</v>
      </c>
      <c r="C9" s="4" t="s">
        <v>216</v>
      </c>
      <c r="D9" s="5">
        <v>51</v>
      </c>
      <c r="E9" s="12">
        <v>0.14571428571428571</v>
      </c>
      <c r="F9" s="5" t="s">
        <v>217</v>
      </c>
      <c r="G9" s="5">
        <v>11</v>
      </c>
    </row>
    <row r="10" spans="1:7" ht="39.950000000000003" customHeight="1" x14ac:dyDescent="0.25">
      <c r="A10" s="11" t="s">
        <v>218</v>
      </c>
      <c r="B10" s="3" t="s">
        <v>219</v>
      </c>
      <c r="C10" s="4" t="s">
        <v>220</v>
      </c>
      <c r="D10" s="5">
        <v>28</v>
      </c>
      <c r="E10" s="12">
        <v>0.08</v>
      </c>
      <c r="F10" s="5" t="s">
        <v>221</v>
      </c>
      <c r="G10" s="5">
        <v>5</v>
      </c>
    </row>
    <row r="11" spans="1:7" ht="39.950000000000003" customHeight="1" x14ac:dyDescent="0.25">
      <c r="A11" s="11" t="s">
        <v>222</v>
      </c>
      <c r="B11" s="3" t="s">
        <v>223</v>
      </c>
      <c r="C11" s="4" t="s">
        <v>224</v>
      </c>
      <c r="D11" s="5">
        <v>22</v>
      </c>
      <c r="E11" s="12">
        <v>6.2857142857142861E-2</v>
      </c>
      <c r="F11" s="5" t="s">
        <v>225</v>
      </c>
      <c r="G11" s="5">
        <v>6</v>
      </c>
    </row>
    <row r="12" spans="1:7" ht="39.950000000000003" customHeight="1" x14ac:dyDescent="0.25">
      <c r="A12" s="11" t="s">
        <v>226</v>
      </c>
      <c r="B12" s="3" t="s">
        <v>227</v>
      </c>
      <c r="C12" s="4" t="s">
        <v>228</v>
      </c>
      <c r="D12" s="5">
        <v>28</v>
      </c>
      <c r="E12" s="12">
        <v>0.08</v>
      </c>
      <c r="F12" s="5" t="s">
        <v>229</v>
      </c>
      <c r="G12" s="5">
        <v>5</v>
      </c>
    </row>
    <row r="13" spans="1:7" ht="15.75" x14ac:dyDescent="0.25">
      <c r="A13" s="38" t="s">
        <v>230</v>
      </c>
      <c r="B13" s="39"/>
      <c r="C13" s="39"/>
      <c r="D13" s="14">
        <f>SUM(D4:D12)</f>
        <v>350</v>
      </c>
      <c r="E13" s="15">
        <v>1</v>
      </c>
      <c r="F13" s="16"/>
      <c r="G13" s="14">
        <f>SUM(G4:G12)</f>
        <v>76</v>
      </c>
    </row>
  </sheetData>
  <mergeCells count="2">
    <mergeCell ref="A13:C13"/>
    <mergeCell ref="A1:F1"/>
  </mergeCells>
  <conditionalFormatting sqref="D4:D12">
    <cfRule type="cellIs" dxfId="0" priority="1" operator="greaterThan">
      <formula>50</formula>
    </cfRule>
  </conditionalFormatting>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E4A8F"/>
  </sheetPr>
  <dimension ref="A1:J97"/>
  <sheetViews>
    <sheetView showGridLines="0" workbookViewId="0">
      <pane ySplit="4" topLeftCell="A101" activePane="bottomLeft" state="frozen"/>
      <selection pane="bottomLeft" activeCell="F113" sqref="F113"/>
    </sheetView>
  </sheetViews>
  <sheetFormatPr defaultRowHeight="15" x14ac:dyDescent="0.25"/>
  <cols>
    <col min="1" max="1" width="9" customWidth="1"/>
    <col min="2" max="2" width="8" customWidth="1"/>
    <col min="3" max="3" width="9" customWidth="1"/>
    <col min="4" max="4" width="16" customWidth="1"/>
    <col min="5" max="5" width="46" customWidth="1"/>
    <col min="6" max="6" width="62" customWidth="1"/>
    <col min="7" max="8" width="9" customWidth="1"/>
    <col min="9" max="9" width="13" customWidth="1"/>
    <col min="10" max="10" width="22" customWidth="1"/>
  </cols>
  <sheetData>
    <row r="1" spans="1:10" ht="26.1" customHeight="1" x14ac:dyDescent="0.3">
      <c r="A1" s="34" t="s">
        <v>231</v>
      </c>
      <c r="B1" s="28"/>
      <c r="C1" s="28"/>
      <c r="D1" s="28"/>
      <c r="E1" s="28"/>
      <c r="F1" s="28"/>
      <c r="G1" s="28"/>
      <c r="H1" s="28"/>
      <c r="I1" s="28"/>
      <c r="J1" s="28"/>
    </row>
    <row r="2" spans="1:10" ht="15.75" x14ac:dyDescent="0.25">
      <c r="A2" s="42" t="s">
        <v>232</v>
      </c>
      <c r="B2" s="28"/>
      <c r="C2" s="28"/>
      <c r="D2" s="28"/>
      <c r="E2" s="28"/>
      <c r="F2" s="28"/>
      <c r="G2" s="28"/>
      <c r="H2" s="28"/>
      <c r="I2" s="28"/>
      <c r="J2" s="28"/>
    </row>
    <row r="3" spans="1:10" ht="15.75" x14ac:dyDescent="0.25">
      <c r="A3" s="1"/>
      <c r="B3" s="1"/>
      <c r="C3" s="1"/>
      <c r="D3" s="1"/>
      <c r="E3" s="1"/>
      <c r="F3" s="1"/>
      <c r="G3" s="1"/>
      <c r="H3" s="1"/>
      <c r="I3" s="1"/>
      <c r="J3" s="1"/>
    </row>
    <row r="4" spans="1:10" ht="30" customHeight="1" x14ac:dyDescent="0.25">
      <c r="A4" s="2" t="s">
        <v>233</v>
      </c>
      <c r="B4" s="2" t="s">
        <v>192</v>
      </c>
      <c r="C4" s="2" t="s">
        <v>234</v>
      </c>
      <c r="D4" s="2" t="s">
        <v>134</v>
      </c>
      <c r="E4" s="2" t="s">
        <v>235</v>
      </c>
      <c r="F4" s="2" t="s">
        <v>236</v>
      </c>
      <c r="G4" s="2" t="s">
        <v>190</v>
      </c>
      <c r="H4" s="2" t="s">
        <v>237</v>
      </c>
      <c r="I4" s="2" t="s">
        <v>238</v>
      </c>
      <c r="J4" s="2" t="s">
        <v>239</v>
      </c>
    </row>
    <row r="5" spans="1:10" ht="21.95" customHeight="1" x14ac:dyDescent="0.25">
      <c r="A5" s="40" t="s">
        <v>240</v>
      </c>
      <c r="B5" s="28"/>
      <c r="C5" s="28"/>
      <c r="D5" s="28"/>
      <c r="E5" s="28"/>
      <c r="F5" s="28"/>
      <c r="G5" s="28"/>
      <c r="H5" s="28"/>
      <c r="I5" s="28"/>
      <c r="J5" s="28"/>
    </row>
    <row r="6" spans="1:10" ht="26.1" customHeight="1" x14ac:dyDescent="0.25">
      <c r="A6" s="41" t="s">
        <v>241</v>
      </c>
      <c r="B6" s="28"/>
      <c r="C6" s="28"/>
      <c r="D6" s="28"/>
      <c r="E6" s="28"/>
      <c r="F6" s="28"/>
      <c r="G6" s="28"/>
      <c r="H6" s="28"/>
      <c r="I6" s="28"/>
      <c r="J6" s="28"/>
    </row>
    <row r="7" spans="1:10" ht="39" customHeight="1" x14ac:dyDescent="0.25">
      <c r="A7" s="17" t="s">
        <v>242</v>
      </c>
      <c r="B7" s="5">
        <v>1</v>
      </c>
      <c r="C7" s="18" t="s">
        <v>194</v>
      </c>
      <c r="D7" s="4" t="s">
        <v>243</v>
      </c>
      <c r="E7" s="3" t="s">
        <v>244</v>
      </c>
      <c r="F7" s="4" t="s">
        <v>245</v>
      </c>
      <c r="G7" s="5">
        <v>5</v>
      </c>
      <c r="H7" s="19" t="s">
        <v>246</v>
      </c>
      <c r="I7" s="4" t="s">
        <v>247</v>
      </c>
      <c r="J7" s="4"/>
    </row>
    <row r="8" spans="1:10" ht="39" customHeight="1" x14ac:dyDescent="0.25">
      <c r="A8" s="17" t="s">
        <v>248</v>
      </c>
      <c r="B8" s="5">
        <v>1</v>
      </c>
      <c r="C8" s="18" t="s">
        <v>194</v>
      </c>
      <c r="D8" s="4" t="s">
        <v>243</v>
      </c>
      <c r="E8" s="3" t="s">
        <v>249</v>
      </c>
      <c r="F8" s="4" t="s">
        <v>250</v>
      </c>
      <c r="G8" s="5">
        <v>3</v>
      </c>
      <c r="H8" s="19" t="s">
        <v>246</v>
      </c>
      <c r="I8" s="4" t="s">
        <v>247</v>
      </c>
      <c r="J8" s="4"/>
    </row>
    <row r="9" spans="1:10" ht="39" customHeight="1" x14ac:dyDescent="0.25">
      <c r="A9" s="17" t="s">
        <v>251</v>
      </c>
      <c r="B9" s="5">
        <v>1</v>
      </c>
      <c r="C9" s="18" t="s">
        <v>194</v>
      </c>
      <c r="D9" s="4" t="s">
        <v>243</v>
      </c>
      <c r="E9" s="3" t="s">
        <v>252</v>
      </c>
      <c r="F9" s="4" t="s">
        <v>253</v>
      </c>
      <c r="G9" s="5">
        <v>5</v>
      </c>
      <c r="H9" s="19" t="s">
        <v>246</v>
      </c>
      <c r="I9" s="4" t="s">
        <v>247</v>
      </c>
      <c r="J9" s="4"/>
    </row>
    <row r="10" spans="1:10" ht="39" customHeight="1" x14ac:dyDescent="0.25">
      <c r="A10" s="17" t="s">
        <v>254</v>
      </c>
      <c r="B10" s="5">
        <v>1</v>
      </c>
      <c r="C10" s="18" t="s">
        <v>194</v>
      </c>
      <c r="D10" s="4" t="s">
        <v>243</v>
      </c>
      <c r="E10" s="3" t="s">
        <v>255</v>
      </c>
      <c r="F10" s="4" t="s">
        <v>256</v>
      </c>
      <c r="G10" s="5">
        <v>2</v>
      </c>
      <c r="H10" s="19" t="s">
        <v>246</v>
      </c>
      <c r="I10" s="4" t="s">
        <v>247</v>
      </c>
      <c r="J10" s="4"/>
    </row>
    <row r="11" spans="1:10" ht="51.95" customHeight="1" x14ac:dyDescent="0.25">
      <c r="A11" s="17" t="s">
        <v>257</v>
      </c>
      <c r="B11" s="5">
        <v>1</v>
      </c>
      <c r="C11" s="18" t="s">
        <v>194</v>
      </c>
      <c r="D11" s="4" t="s">
        <v>162</v>
      </c>
      <c r="E11" s="3" t="s">
        <v>258</v>
      </c>
      <c r="F11" s="4" t="s">
        <v>259</v>
      </c>
      <c r="G11" s="5">
        <v>8</v>
      </c>
      <c r="H11" s="19" t="s">
        <v>246</v>
      </c>
      <c r="I11" s="4" t="s">
        <v>247</v>
      </c>
      <c r="J11" s="4"/>
    </row>
    <row r="12" spans="1:10" ht="39" customHeight="1" x14ac:dyDescent="0.25">
      <c r="A12" s="17" t="s">
        <v>260</v>
      </c>
      <c r="B12" s="5">
        <v>1</v>
      </c>
      <c r="C12" s="18" t="s">
        <v>194</v>
      </c>
      <c r="D12" s="4" t="s">
        <v>243</v>
      </c>
      <c r="E12" s="3" t="s">
        <v>261</v>
      </c>
      <c r="F12" s="4" t="s">
        <v>262</v>
      </c>
      <c r="G12" s="5">
        <v>5</v>
      </c>
      <c r="H12" s="19" t="s">
        <v>246</v>
      </c>
      <c r="I12" s="4" t="s">
        <v>247</v>
      </c>
      <c r="J12" s="4"/>
    </row>
    <row r="13" spans="1:10" ht="30" customHeight="1" x14ac:dyDescent="0.25">
      <c r="A13" s="17" t="s">
        <v>263</v>
      </c>
      <c r="B13" s="5">
        <v>1</v>
      </c>
      <c r="C13" s="18" t="s">
        <v>194</v>
      </c>
      <c r="D13" s="4" t="s">
        <v>243</v>
      </c>
      <c r="E13" s="3" t="s">
        <v>264</v>
      </c>
      <c r="F13" s="4" t="s">
        <v>265</v>
      </c>
      <c r="G13" s="5">
        <v>1</v>
      </c>
      <c r="H13" s="20" t="s">
        <v>266</v>
      </c>
      <c r="I13" s="4" t="s">
        <v>247</v>
      </c>
      <c r="J13" s="4"/>
    </row>
    <row r="14" spans="1:10" ht="51.95" customHeight="1" x14ac:dyDescent="0.25">
      <c r="A14" s="17" t="s">
        <v>267</v>
      </c>
      <c r="B14" s="5">
        <v>1</v>
      </c>
      <c r="C14" s="18" t="s">
        <v>194</v>
      </c>
      <c r="D14" s="4" t="s">
        <v>162</v>
      </c>
      <c r="E14" s="3" t="s">
        <v>268</v>
      </c>
      <c r="F14" s="4" t="s">
        <v>269</v>
      </c>
      <c r="G14" s="5">
        <v>8</v>
      </c>
      <c r="H14" s="19" t="s">
        <v>246</v>
      </c>
      <c r="I14" s="4" t="s">
        <v>247</v>
      </c>
      <c r="J14" s="4"/>
    </row>
    <row r="15" spans="1:10" ht="39" customHeight="1" x14ac:dyDescent="0.25">
      <c r="A15" s="17" t="s">
        <v>270</v>
      </c>
      <c r="B15" s="5">
        <v>1</v>
      </c>
      <c r="C15" s="18" t="s">
        <v>194</v>
      </c>
      <c r="D15" s="4" t="s">
        <v>162</v>
      </c>
      <c r="E15" s="3" t="s">
        <v>271</v>
      </c>
      <c r="F15" s="4" t="s">
        <v>272</v>
      </c>
      <c r="G15" s="5">
        <v>3</v>
      </c>
      <c r="H15" s="19" t="s">
        <v>246</v>
      </c>
      <c r="I15" s="4" t="s">
        <v>247</v>
      </c>
      <c r="J15" s="4"/>
    </row>
    <row r="16" spans="1:10" ht="39" customHeight="1" x14ac:dyDescent="0.25">
      <c r="A16" s="17" t="s">
        <v>273</v>
      </c>
      <c r="B16" s="5">
        <v>1</v>
      </c>
      <c r="C16" s="18" t="s">
        <v>194</v>
      </c>
      <c r="D16" s="4" t="s">
        <v>162</v>
      </c>
      <c r="E16" s="3" t="s">
        <v>274</v>
      </c>
      <c r="F16" s="4" t="s">
        <v>275</v>
      </c>
      <c r="G16" s="5">
        <v>2</v>
      </c>
      <c r="H16" s="19" t="s">
        <v>246</v>
      </c>
      <c r="I16" s="4" t="s">
        <v>247</v>
      </c>
      <c r="J16" s="4"/>
    </row>
    <row r="17" spans="1:10" ht="21.95" customHeight="1" x14ac:dyDescent="0.25">
      <c r="A17" s="40" t="s">
        <v>276</v>
      </c>
      <c r="B17" s="28"/>
      <c r="C17" s="28"/>
      <c r="D17" s="28"/>
      <c r="E17" s="28"/>
      <c r="F17" s="28"/>
      <c r="G17" s="28"/>
      <c r="H17" s="28"/>
      <c r="I17" s="28"/>
      <c r="J17" s="28"/>
    </row>
    <row r="18" spans="1:10" ht="26.1" customHeight="1" x14ac:dyDescent="0.25">
      <c r="A18" s="41" t="s">
        <v>277</v>
      </c>
      <c r="B18" s="28"/>
      <c r="C18" s="28"/>
      <c r="D18" s="28"/>
      <c r="E18" s="28"/>
      <c r="F18" s="28"/>
      <c r="G18" s="28"/>
      <c r="H18" s="28"/>
      <c r="I18" s="28"/>
      <c r="J18" s="28"/>
    </row>
    <row r="19" spans="1:10" ht="39" customHeight="1" x14ac:dyDescent="0.25">
      <c r="A19" s="17" t="s">
        <v>278</v>
      </c>
      <c r="B19" s="5">
        <v>2</v>
      </c>
      <c r="C19" s="18" t="s">
        <v>194</v>
      </c>
      <c r="D19" s="4" t="s">
        <v>162</v>
      </c>
      <c r="E19" s="3" t="s">
        <v>279</v>
      </c>
      <c r="F19" s="4" t="s">
        <v>280</v>
      </c>
      <c r="G19" s="5">
        <v>5</v>
      </c>
      <c r="H19" s="20" t="s">
        <v>266</v>
      </c>
      <c r="I19" s="4" t="s">
        <v>247</v>
      </c>
      <c r="J19" s="4"/>
    </row>
    <row r="20" spans="1:10" ht="39" customHeight="1" x14ac:dyDescent="0.25">
      <c r="A20" s="17" t="s">
        <v>281</v>
      </c>
      <c r="B20" s="5">
        <v>2</v>
      </c>
      <c r="C20" s="18" t="s">
        <v>194</v>
      </c>
      <c r="D20" s="4" t="s">
        <v>243</v>
      </c>
      <c r="E20" s="3" t="s">
        <v>282</v>
      </c>
      <c r="F20" s="4" t="s">
        <v>283</v>
      </c>
      <c r="G20" s="5">
        <v>3</v>
      </c>
      <c r="H20" s="19" t="s">
        <v>246</v>
      </c>
      <c r="I20" s="4" t="s">
        <v>247</v>
      </c>
      <c r="J20" s="4"/>
    </row>
    <row r="21" spans="1:10" ht="30" customHeight="1" x14ac:dyDescent="0.25">
      <c r="A21" s="17" t="s">
        <v>284</v>
      </c>
      <c r="B21" s="5">
        <v>2</v>
      </c>
      <c r="C21" s="18" t="s">
        <v>194</v>
      </c>
      <c r="D21" s="4" t="s">
        <v>243</v>
      </c>
      <c r="E21" s="3" t="s">
        <v>285</v>
      </c>
      <c r="F21" s="4" t="s">
        <v>286</v>
      </c>
      <c r="G21" s="5">
        <v>2</v>
      </c>
      <c r="H21" s="21" t="s">
        <v>287</v>
      </c>
      <c r="I21" s="4" t="s">
        <v>247</v>
      </c>
      <c r="J21" s="4"/>
    </row>
    <row r="22" spans="1:10" ht="39" customHeight="1" x14ac:dyDescent="0.25">
      <c r="A22" s="17" t="s">
        <v>288</v>
      </c>
      <c r="B22" s="5">
        <v>2</v>
      </c>
      <c r="C22" s="18" t="s">
        <v>198</v>
      </c>
      <c r="D22" s="4" t="s">
        <v>154</v>
      </c>
      <c r="E22" s="3" t="s">
        <v>289</v>
      </c>
      <c r="F22" s="4" t="s">
        <v>290</v>
      </c>
      <c r="G22" s="5">
        <v>5</v>
      </c>
      <c r="H22" s="19" t="s">
        <v>246</v>
      </c>
      <c r="I22" s="4" t="s">
        <v>247</v>
      </c>
      <c r="J22" s="4"/>
    </row>
    <row r="23" spans="1:10" ht="39" customHeight="1" x14ac:dyDescent="0.25">
      <c r="A23" s="17" t="s">
        <v>291</v>
      </c>
      <c r="B23" s="5">
        <v>2</v>
      </c>
      <c r="C23" s="18" t="s">
        <v>198</v>
      </c>
      <c r="D23" s="4" t="s">
        <v>154</v>
      </c>
      <c r="E23" s="3" t="s">
        <v>292</v>
      </c>
      <c r="F23" s="4" t="s">
        <v>293</v>
      </c>
      <c r="G23" s="5">
        <v>5</v>
      </c>
      <c r="H23" s="19" t="s">
        <v>246</v>
      </c>
      <c r="I23" s="4" t="s">
        <v>247</v>
      </c>
      <c r="J23" s="4"/>
    </row>
    <row r="24" spans="1:10" ht="51.95" customHeight="1" x14ac:dyDescent="0.25">
      <c r="A24" s="17" t="s">
        <v>294</v>
      </c>
      <c r="B24" s="5">
        <v>2</v>
      </c>
      <c r="C24" s="18" t="s">
        <v>198</v>
      </c>
      <c r="D24" s="4" t="s">
        <v>154</v>
      </c>
      <c r="E24" s="3" t="s">
        <v>295</v>
      </c>
      <c r="F24" s="4" t="s">
        <v>296</v>
      </c>
      <c r="G24" s="5">
        <v>5</v>
      </c>
      <c r="H24" s="19" t="s">
        <v>246</v>
      </c>
      <c r="I24" s="4" t="s">
        <v>247</v>
      </c>
      <c r="J24" s="4"/>
    </row>
    <row r="25" spans="1:10" ht="39" customHeight="1" x14ac:dyDescent="0.25">
      <c r="A25" s="17" t="s">
        <v>297</v>
      </c>
      <c r="B25" s="5">
        <v>2</v>
      </c>
      <c r="C25" s="18" t="s">
        <v>198</v>
      </c>
      <c r="D25" s="4" t="s">
        <v>154</v>
      </c>
      <c r="E25" s="3" t="s">
        <v>298</v>
      </c>
      <c r="F25" s="4" t="s">
        <v>299</v>
      </c>
      <c r="G25" s="5">
        <v>5</v>
      </c>
      <c r="H25" s="20" t="s">
        <v>266</v>
      </c>
      <c r="I25" s="4" t="s">
        <v>247</v>
      </c>
      <c r="J25" s="4"/>
    </row>
    <row r="26" spans="1:10" ht="39" customHeight="1" x14ac:dyDescent="0.25">
      <c r="A26" s="17" t="s">
        <v>300</v>
      </c>
      <c r="B26" s="5">
        <v>2</v>
      </c>
      <c r="C26" s="18" t="s">
        <v>198</v>
      </c>
      <c r="D26" s="4" t="s">
        <v>154</v>
      </c>
      <c r="E26" s="3" t="s">
        <v>301</v>
      </c>
      <c r="F26" s="4" t="s">
        <v>302</v>
      </c>
      <c r="G26" s="5">
        <v>5</v>
      </c>
      <c r="H26" s="19" t="s">
        <v>246</v>
      </c>
      <c r="I26" s="4" t="s">
        <v>247</v>
      </c>
      <c r="J26" s="4"/>
    </row>
    <row r="27" spans="1:10" ht="30" customHeight="1" x14ac:dyDescent="0.25">
      <c r="A27" s="17" t="s">
        <v>303</v>
      </c>
      <c r="B27" s="5">
        <v>2</v>
      </c>
      <c r="C27" s="18" t="s">
        <v>206</v>
      </c>
      <c r="D27" s="4" t="s">
        <v>154</v>
      </c>
      <c r="E27" s="3" t="s">
        <v>304</v>
      </c>
      <c r="F27" s="4" t="s">
        <v>305</v>
      </c>
      <c r="G27" s="5">
        <v>2</v>
      </c>
      <c r="H27" s="21" t="s">
        <v>287</v>
      </c>
      <c r="I27" s="4" t="s">
        <v>247</v>
      </c>
      <c r="J27" s="4"/>
    </row>
    <row r="28" spans="1:10" ht="51.95" customHeight="1" x14ac:dyDescent="0.25">
      <c r="A28" s="17" t="s">
        <v>306</v>
      </c>
      <c r="B28" s="5">
        <v>2</v>
      </c>
      <c r="C28" s="18" t="s">
        <v>202</v>
      </c>
      <c r="D28" s="4" t="s">
        <v>146</v>
      </c>
      <c r="E28" s="3" t="s">
        <v>307</v>
      </c>
      <c r="F28" s="4" t="s">
        <v>308</v>
      </c>
      <c r="G28" s="5">
        <v>8</v>
      </c>
      <c r="H28" s="19" t="s">
        <v>246</v>
      </c>
      <c r="I28" s="4" t="s">
        <v>247</v>
      </c>
      <c r="J28" s="4"/>
    </row>
    <row r="29" spans="1:10" ht="21.95" customHeight="1" x14ac:dyDescent="0.25">
      <c r="A29" s="40" t="s">
        <v>309</v>
      </c>
      <c r="B29" s="28"/>
      <c r="C29" s="28"/>
      <c r="D29" s="28"/>
      <c r="E29" s="28"/>
      <c r="F29" s="28"/>
      <c r="G29" s="28"/>
      <c r="H29" s="28"/>
      <c r="I29" s="28"/>
      <c r="J29" s="28"/>
    </row>
    <row r="30" spans="1:10" ht="26.1" customHeight="1" x14ac:dyDescent="0.25">
      <c r="A30" s="41" t="s">
        <v>310</v>
      </c>
      <c r="B30" s="28"/>
      <c r="C30" s="28"/>
      <c r="D30" s="28"/>
      <c r="E30" s="28"/>
      <c r="F30" s="28"/>
      <c r="G30" s="28"/>
      <c r="H30" s="28"/>
      <c r="I30" s="28"/>
      <c r="J30" s="28"/>
    </row>
    <row r="31" spans="1:10" ht="51.95" customHeight="1" x14ac:dyDescent="0.25">
      <c r="A31" s="17" t="s">
        <v>311</v>
      </c>
      <c r="B31" s="5">
        <v>3</v>
      </c>
      <c r="C31" s="18" t="s">
        <v>202</v>
      </c>
      <c r="D31" s="4" t="s">
        <v>154</v>
      </c>
      <c r="E31" s="3" t="s">
        <v>312</v>
      </c>
      <c r="F31" s="4" t="s">
        <v>313</v>
      </c>
      <c r="G31" s="5">
        <v>8</v>
      </c>
      <c r="H31" s="19" t="s">
        <v>246</v>
      </c>
      <c r="I31" s="4" t="s">
        <v>247</v>
      </c>
      <c r="J31" s="4"/>
    </row>
    <row r="32" spans="1:10" ht="39" customHeight="1" x14ac:dyDescent="0.25">
      <c r="A32" s="17" t="s">
        <v>314</v>
      </c>
      <c r="B32" s="5">
        <v>3</v>
      </c>
      <c r="C32" s="18" t="s">
        <v>202</v>
      </c>
      <c r="D32" s="4" t="s">
        <v>158</v>
      </c>
      <c r="E32" s="3" t="s">
        <v>315</v>
      </c>
      <c r="F32" s="4" t="s">
        <v>316</v>
      </c>
      <c r="G32" s="5">
        <v>5</v>
      </c>
      <c r="H32" s="19" t="s">
        <v>246</v>
      </c>
      <c r="I32" s="4" t="s">
        <v>247</v>
      </c>
      <c r="J32" s="4"/>
    </row>
    <row r="33" spans="1:10" ht="39" customHeight="1" x14ac:dyDescent="0.25">
      <c r="A33" s="17" t="s">
        <v>317</v>
      </c>
      <c r="B33" s="5">
        <v>3</v>
      </c>
      <c r="C33" s="18" t="s">
        <v>202</v>
      </c>
      <c r="D33" s="4" t="s">
        <v>146</v>
      </c>
      <c r="E33" s="3" t="s">
        <v>318</v>
      </c>
      <c r="F33" s="4" t="s">
        <v>319</v>
      </c>
      <c r="G33" s="5">
        <v>3</v>
      </c>
      <c r="H33" s="19" t="s">
        <v>246</v>
      </c>
      <c r="I33" s="4" t="s">
        <v>247</v>
      </c>
      <c r="J33" s="4"/>
    </row>
    <row r="34" spans="1:10" ht="39" customHeight="1" x14ac:dyDescent="0.25">
      <c r="A34" s="17" t="s">
        <v>320</v>
      </c>
      <c r="B34" s="5">
        <v>3</v>
      </c>
      <c r="C34" s="18" t="s">
        <v>202</v>
      </c>
      <c r="D34" s="4" t="s">
        <v>154</v>
      </c>
      <c r="E34" s="3" t="s">
        <v>321</v>
      </c>
      <c r="F34" s="4" t="s">
        <v>322</v>
      </c>
      <c r="G34" s="5">
        <v>5</v>
      </c>
      <c r="H34" s="19" t="s">
        <v>246</v>
      </c>
      <c r="I34" s="4" t="s">
        <v>247</v>
      </c>
      <c r="J34" s="4"/>
    </row>
    <row r="35" spans="1:10" ht="30" customHeight="1" x14ac:dyDescent="0.25">
      <c r="A35" s="17" t="s">
        <v>323</v>
      </c>
      <c r="B35" s="5">
        <v>3</v>
      </c>
      <c r="C35" s="18" t="s">
        <v>202</v>
      </c>
      <c r="D35" s="4" t="s">
        <v>146</v>
      </c>
      <c r="E35" s="3" t="s">
        <v>324</v>
      </c>
      <c r="F35" s="4" t="s">
        <v>325</v>
      </c>
      <c r="G35" s="5">
        <v>2</v>
      </c>
      <c r="H35" s="20" t="s">
        <v>266</v>
      </c>
      <c r="I35" s="4" t="s">
        <v>247</v>
      </c>
      <c r="J35" s="4"/>
    </row>
    <row r="36" spans="1:10" ht="39" customHeight="1" x14ac:dyDescent="0.25">
      <c r="A36" s="17" t="s">
        <v>326</v>
      </c>
      <c r="B36" s="5">
        <v>3</v>
      </c>
      <c r="C36" s="18" t="s">
        <v>202</v>
      </c>
      <c r="D36" s="4" t="s">
        <v>154</v>
      </c>
      <c r="E36" s="3" t="s">
        <v>327</v>
      </c>
      <c r="F36" s="4" t="s">
        <v>328</v>
      </c>
      <c r="G36" s="5">
        <v>3</v>
      </c>
      <c r="H36" s="19" t="s">
        <v>246</v>
      </c>
      <c r="I36" s="4" t="s">
        <v>247</v>
      </c>
      <c r="J36" s="4"/>
    </row>
    <row r="37" spans="1:10" ht="39" customHeight="1" x14ac:dyDescent="0.25">
      <c r="A37" s="17" t="s">
        <v>329</v>
      </c>
      <c r="B37" s="5">
        <v>3</v>
      </c>
      <c r="C37" s="18" t="s">
        <v>202</v>
      </c>
      <c r="D37" s="4" t="s">
        <v>154</v>
      </c>
      <c r="E37" s="3" t="s">
        <v>330</v>
      </c>
      <c r="F37" s="4" t="s">
        <v>331</v>
      </c>
      <c r="G37" s="5">
        <v>5</v>
      </c>
      <c r="H37" s="19" t="s">
        <v>246</v>
      </c>
      <c r="I37" s="4" t="s">
        <v>247</v>
      </c>
      <c r="J37" s="4"/>
    </row>
    <row r="38" spans="1:10" ht="39" customHeight="1" x14ac:dyDescent="0.25">
      <c r="A38" s="17" t="s">
        <v>332</v>
      </c>
      <c r="B38" s="5">
        <v>3</v>
      </c>
      <c r="C38" s="18" t="s">
        <v>202</v>
      </c>
      <c r="D38" s="4" t="s">
        <v>154</v>
      </c>
      <c r="E38" s="3" t="s">
        <v>333</v>
      </c>
      <c r="F38" s="4" t="s">
        <v>334</v>
      </c>
      <c r="G38" s="5">
        <v>5</v>
      </c>
      <c r="H38" s="19" t="s">
        <v>246</v>
      </c>
      <c r="I38" s="4" t="s">
        <v>247</v>
      </c>
      <c r="J38" s="4"/>
    </row>
    <row r="39" spans="1:10" ht="39" customHeight="1" x14ac:dyDescent="0.25">
      <c r="A39" s="17" t="s">
        <v>335</v>
      </c>
      <c r="B39" s="5">
        <v>3</v>
      </c>
      <c r="C39" s="18" t="s">
        <v>206</v>
      </c>
      <c r="D39" s="4" t="s">
        <v>142</v>
      </c>
      <c r="E39" s="3" t="s">
        <v>336</v>
      </c>
      <c r="F39" s="4" t="s">
        <v>337</v>
      </c>
      <c r="G39" s="5">
        <v>5</v>
      </c>
      <c r="H39" s="19" t="s">
        <v>246</v>
      </c>
      <c r="I39" s="4" t="s">
        <v>247</v>
      </c>
      <c r="J39" s="4"/>
    </row>
    <row r="40" spans="1:10" ht="39" customHeight="1" x14ac:dyDescent="0.25">
      <c r="A40" s="17" t="s">
        <v>338</v>
      </c>
      <c r="B40" s="5">
        <v>3</v>
      </c>
      <c r="C40" s="18" t="s">
        <v>206</v>
      </c>
      <c r="D40" s="4" t="s">
        <v>154</v>
      </c>
      <c r="E40" s="3" t="s">
        <v>339</v>
      </c>
      <c r="F40" s="4" t="s">
        <v>340</v>
      </c>
      <c r="G40" s="5">
        <v>3</v>
      </c>
      <c r="H40" s="19" t="s">
        <v>246</v>
      </c>
      <c r="I40" s="4" t="s">
        <v>247</v>
      </c>
      <c r="J40" s="4"/>
    </row>
    <row r="41" spans="1:10" ht="21.95" customHeight="1" x14ac:dyDescent="0.25">
      <c r="A41" s="40" t="s">
        <v>341</v>
      </c>
      <c r="B41" s="28"/>
      <c r="C41" s="28"/>
      <c r="D41" s="28"/>
      <c r="E41" s="28"/>
      <c r="F41" s="28"/>
      <c r="G41" s="28"/>
      <c r="H41" s="28"/>
      <c r="I41" s="28"/>
      <c r="J41" s="28"/>
    </row>
    <row r="42" spans="1:10" ht="26.1" customHeight="1" x14ac:dyDescent="0.25">
      <c r="A42" s="41" t="s">
        <v>342</v>
      </c>
      <c r="B42" s="28"/>
      <c r="C42" s="28"/>
      <c r="D42" s="28"/>
      <c r="E42" s="28"/>
      <c r="F42" s="28"/>
      <c r="G42" s="28"/>
      <c r="H42" s="28"/>
      <c r="I42" s="28"/>
      <c r="J42" s="28"/>
    </row>
    <row r="43" spans="1:10" ht="51.95" customHeight="1" x14ac:dyDescent="0.25">
      <c r="A43" s="17" t="s">
        <v>343</v>
      </c>
      <c r="B43" s="5">
        <v>4</v>
      </c>
      <c r="C43" s="18" t="s">
        <v>206</v>
      </c>
      <c r="D43" s="4" t="s">
        <v>138</v>
      </c>
      <c r="E43" s="3" t="s">
        <v>344</v>
      </c>
      <c r="F43" s="4" t="s">
        <v>345</v>
      </c>
      <c r="G43" s="5">
        <v>5</v>
      </c>
      <c r="H43" s="19" t="s">
        <v>246</v>
      </c>
      <c r="I43" s="4" t="s">
        <v>247</v>
      </c>
      <c r="J43" s="4"/>
    </row>
    <row r="44" spans="1:10" ht="39" customHeight="1" x14ac:dyDescent="0.25">
      <c r="A44" s="17" t="s">
        <v>346</v>
      </c>
      <c r="B44" s="5">
        <v>4</v>
      </c>
      <c r="C44" s="18" t="s">
        <v>206</v>
      </c>
      <c r="D44" s="4" t="s">
        <v>138</v>
      </c>
      <c r="E44" s="3" t="s">
        <v>347</v>
      </c>
      <c r="F44" s="4" t="s">
        <v>348</v>
      </c>
      <c r="G44" s="5">
        <v>5</v>
      </c>
      <c r="H44" s="19" t="s">
        <v>246</v>
      </c>
      <c r="I44" s="4" t="s">
        <v>247</v>
      </c>
      <c r="J44" s="4"/>
    </row>
    <row r="45" spans="1:10" ht="65.099999999999994" customHeight="1" x14ac:dyDescent="0.25">
      <c r="A45" s="17" t="s">
        <v>349</v>
      </c>
      <c r="B45" s="5">
        <v>4</v>
      </c>
      <c r="C45" s="18" t="s">
        <v>206</v>
      </c>
      <c r="D45" s="4" t="s">
        <v>138</v>
      </c>
      <c r="E45" s="3" t="s">
        <v>350</v>
      </c>
      <c r="F45" s="4" t="s">
        <v>351</v>
      </c>
      <c r="G45" s="5">
        <v>8</v>
      </c>
      <c r="H45" s="19" t="s">
        <v>246</v>
      </c>
      <c r="I45" s="4" t="s">
        <v>247</v>
      </c>
      <c r="J45" s="4"/>
    </row>
    <row r="46" spans="1:10" ht="39" customHeight="1" x14ac:dyDescent="0.25">
      <c r="A46" s="17" t="s">
        <v>352</v>
      </c>
      <c r="B46" s="5">
        <v>4</v>
      </c>
      <c r="C46" s="18" t="s">
        <v>206</v>
      </c>
      <c r="D46" s="4" t="s">
        <v>142</v>
      </c>
      <c r="E46" s="3" t="s">
        <v>353</v>
      </c>
      <c r="F46" s="4" t="s">
        <v>354</v>
      </c>
      <c r="G46" s="5">
        <v>5</v>
      </c>
      <c r="H46" s="20" t="s">
        <v>266</v>
      </c>
      <c r="I46" s="4" t="s">
        <v>247</v>
      </c>
      <c r="J46" s="4"/>
    </row>
    <row r="47" spans="1:10" ht="39" customHeight="1" x14ac:dyDescent="0.25">
      <c r="A47" s="17" t="s">
        <v>355</v>
      </c>
      <c r="B47" s="5">
        <v>4</v>
      </c>
      <c r="C47" s="18" t="s">
        <v>206</v>
      </c>
      <c r="D47" s="4" t="s">
        <v>138</v>
      </c>
      <c r="E47" s="3" t="s">
        <v>356</v>
      </c>
      <c r="F47" s="4" t="s">
        <v>357</v>
      </c>
      <c r="G47" s="5">
        <v>5</v>
      </c>
      <c r="H47" s="19" t="s">
        <v>246</v>
      </c>
      <c r="I47" s="4" t="s">
        <v>247</v>
      </c>
      <c r="J47" s="4"/>
    </row>
    <row r="48" spans="1:10" ht="39" customHeight="1" x14ac:dyDescent="0.25">
      <c r="A48" s="17" t="s">
        <v>358</v>
      </c>
      <c r="B48" s="5">
        <v>4</v>
      </c>
      <c r="C48" s="18" t="s">
        <v>206</v>
      </c>
      <c r="D48" s="4" t="s">
        <v>138</v>
      </c>
      <c r="E48" s="3" t="s">
        <v>359</v>
      </c>
      <c r="F48" s="4" t="s">
        <v>360</v>
      </c>
      <c r="G48" s="5">
        <v>2</v>
      </c>
      <c r="H48" s="20" t="s">
        <v>266</v>
      </c>
      <c r="I48" s="4" t="s">
        <v>247</v>
      </c>
      <c r="J48" s="4"/>
    </row>
    <row r="49" spans="1:10" ht="39" customHeight="1" x14ac:dyDescent="0.25">
      <c r="A49" s="17" t="s">
        <v>361</v>
      </c>
      <c r="B49" s="5">
        <v>4</v>
      </c>
      <c r="C49" s="18" t="s">
        <v>206</v>
      </c>
      <c r="D49" s="4" t="s">
        <v>243</v>
      </c>
      <c r="E49" s="3" t="s">
        <v>362</v>
      </c>
      <c r="F49" s="4" t="s">
        <v>363</v>
      </c>
      <c r="G49" s="5">
        <v>5</v>
      </c>
      <c r="H49" s="20" t="s">
        <v>266</v>
      </c>
      <c r="I49" s="4" t="s">
        <v>247</v>
      </c>
      <c r="J49" s="4"/>
    </row>
    <row r="50" spans="1:10" ht="30" customHeight="1" x14ac:dyDescent="0.25">
      <c r="A50" s="17" t="s">
        <v>364</v>
      </c>
      <c r="B50" s="5">
        <v>4</v>
      </c>
      <c r="C50" s="18" t="s">
        <v>206</v>
      </c>
      <c r="D50" s="4" t="s">
        <v>142</v>
      </c>
      <c r="E50" s="3" t="s">
        <v>365</v>
      </c>
      <c r="F50" s="4" t="s">
        <v>366</v>
      </c>
      <c r="G50" s="5">
        <v>2</v>
      </c>
      <c r="H50" s="19" t="s">
        <v>246</v>
      </c>
      <c r="I50" s="4" t="s">
        <v>247</v>
      </c>
      <c r="J50" s="4"/>
    </row>
    <row r="51" spans="1:10" ht="39" customHeight="1" x14ac:dyDescent="0.25">
      <c r="A51" s="17" t="s">
        <v>367</v>
      </c>
      <c r="B51" s="5">
        <v>4</v>
      </c>
      <c r="C51" s="18" t="s">
        <v>210</v>
      </c>
      <c r="D51" s="4" t="s">
        <v>142</v>
      </c>
      <c r="E51" s="3" t="s">
        <v>368</v>
      </c>
      <c r="F51" s="4" t="s">
        <v>369</v>
      </c>
      <c r="G51" s="5">
        <v>8</v>
      </c>
      <c r="H51" s="19" t="s">
        <v>246</v>
      </c>
      <c r="I51" s="4" t="s">
        <v>247</v>
      </c>
      <c r="J51" s="4"/>
    </row>
    <row r="52" spans="1:10" ht="21.95" customHeight="1" x14ac:dyDescent="0.25">
      <c r="A52" s="40" t="s">
        <v>370</v>
      </c>
      <c r="B52" s="28"/>
      <c r="C52" s="28"/>
      <c r="D52" s="28"/>
      <c r="E52" s="28"/>
      <c r="F52" s="28"/>
      <c r="G52" s="28"/>
      <c r="H52" s="28"/>
      <c r="I52" s="28"/>
      <c r="J52" s="28"/>
    </row>
    <row r="53" spans="1:10" ht="26.1" customHeight="1" x14ac:dyDescent="0.25">
      <c r="A53" s="41" t="s">
        <v>371</v>
      </c>
      <c r="B53" s="28"/>
      <c r="C53" s="28"/>
      <c r="D53" s="28"/>
      <c r="E53" s="28"/>
      <c r="F53" s="28"/>
      <c r="G53" s="28"/>
      <c r="H53" s="28"/>
      <c r="I53" s="28"/>
      <c r="J53" s="28"/>
    </row>
    <row r="54" spans="1:10" ht="51.95" customHeight="1" x14ac:dyDescent="0.25">
      <c r="A54" s="17" t="s">
        <v>372</v>
      </c>
      <c r="B54" s="5">
        <v>5</v>
      </c>
      <c r="C54" s="18" t="s">
        <v>210</v>
      </c>
      <c r="D54" s="4" t="s">
        <v>142</v>
      </c>
      <c r="E54" s="3" t="s">
        <v>373</v>
      </c>
      <c r="F54" s="4" t="s">
        <v>374</v>
      </c>
      <c r="G54" s="5">
        <v>5</v>
      </c>
      <c r="H54" s="19" t="s">
        <v>246</v>
      </c>
      <c r="I54" s="4" t="s">
        <v>247</v>
      </c>
      <c r="J54" s="4"/>
    </row>
    <row r="55" spans="1:10" ht="51.95" customHeight="1" x14ac:dyDescent="0.25">
      <c r="A55" s="17" t="s">
        <v>375</v>
      </c>
      <c r="B55" s="5">
        <v>5</v>
      </c>
      <c r="C55" s="18" t="s">
        <v>210</v>
      </c>
      <c r="D55" s="4" t="s">
        <v>142</v>
      </c>
      <c r="E55" s="3" t="s">
        <v>376</v>
      </c>
      <c r="F55" s="4" t="s">
        <v>377</v>
      </c>
      <c r="G55" s="5">
        <v>8</v>
      </c>
      <c r="H55" s="19" t="s">
        <v>246</v>
      </c>
      <c r="I55" s="4" t="s">
        <v>247</v>
      </c>
      <c r="J55" s="4"/>
    </row>
    <row r="56" spans="1:10" ht="39" customHeight="1" x14ac:dyDescent="0.25">
      <c r="A56" s="17" t="s">
        <v>378</v>
      </c>
      <c r="B56" s="5">
        <v>5</v>
      </c>
      <c r="C56" s="18" t="s">
        <v>210</v>
      </c>
      <c r="D56" s="4" t="s">
        <v>142</v>
      </c>
      <c r="E56" s="3" t="s">
        <v>379</v>
      </c>
      <c r="F56" s="4" t="s">
        <v>380</v>
      </c>
      <c r="G56" s="5">
        <v>5</v>
      </c>
      <c r="H56" s="19" t="s">
        <v>246</v>
      </c>
      <c r="I56" s="4" t="s">
        <v>247</v>
      </c>
      <c r="J56" s="4"/>
    </row>
    <row r="57" spans="1:10" ht="39" customHeight="1" x14ac:dyDescent="0.25">
      <c r="A57" s="17" t="s">
        <v>381</v>
      </c>
      <c r="B57" s="5">
        <v>5</v>
      </c>
      <c r="C57" s="18" t="s">
        <v>210</v>
      </c>
      <c r="D57" s="4" t="s">
        <v>142</v>
      </c>
      <c r="E57" s="3" t="s">
        <v>382</v>
      </c>
      <c r="F57" s="4" t="s">
        <v>383</v>
      </c>
      <c r="G57" s="5">
        <v>5</v>
      </c>
      <c r="H57" s="19" t="s">
        <v>246</v>
      </c>
      <c r="I57" s="4" t="s">
        <v>247</v>
      </c>
      <c r="J57" s="4"/>
    </row>
    <row r="58" spans="1:10" ht="39" customHeight="1" x14ac:dyDescent="0.25">
      <c r="A58" s="17" t="s">
        <v>384</v>
      </c>
      <c r="B58" s="5">
        <v>5</v>
      </c>
      <c r="C58" s="18" t="s">
        <v>210</v>
      </c>
      <c r="D58" s="4" t="s">
        <v>142</v>
      </c>
      <c r="E58" s="3" t="s">
        <v>385</v>
      </c>
      <c r="F58" s="4" t="s">
        <v>386</v>
      </c>
      <c r="G58" s="5">
        <v>5</v>
      </c>
      <c r="H58" s="19" t="s">
        <v>246</v>
      </c>
      <c r="I58" s="4" t="s">
        <v>247</v>
      </c>
      <c r="J58" s="4"/>
    </row>
    <row r="59" spans="1:10" ht="39" customHeight="1" x14ac:dyDescent="0.25">
      <c r="A59" s="17" t="s">
        <v>387</v>
      </c>
      <c r="B59" s="5">
        <v>5</v>
      </c>
      <c r="C59" s="18" t="s">
        <v>210</v>
      </c>
      <c r="D59" s="4" t="s">
        <v>154</v>
      </c>
      <c r="E59" s="3" t="s">
        <v>388</v>
      </c>
      <c r="F59" s="4" t="s">
        <v>389</v>
      </c>
      <c r="G59" s="5">
        <v>5</v>
      </c>
      <c r="H59" s="20" t="s">
        <v>266</v>
      </c>
      <c r="I59" s="4" t="s">
        <v>247</v>
      </c>
      <c r="J59" s="4"/>
    </row>
    <row r="60" spans="1:10" ht="30" customHeight="1" x14ac:dyDescent="0.25">
      <c r="A60" s="17" t="s">
        <v>390</v>
      </c>
      <c r="B60" s="5">
        <v>5</v>
      </c>
      <c r="C60" s="18" t="s">
        <v>210</v>
      </c>
      <c r="D60" s="4" t="s">
        <v>142</v>
      </c>
      <c r="E60" s="3" t="s">
        <v>391</v>
      </c>
      <c r="F60" s="4" t="s">
        <v>392</v>
      </c>
      <c r="G60" s="5">
        <v>2</v>
      </c>
      <c r="H60" s="19" t="s">
        <v>246</v>
      </c>
      <c r="I60" s="4" t="s">
        <v>247</v>
      </c>
      <c r="J60" s="4"/>
    </row>
    <row r="61" spans="1:10" ht="30" customHeight="1" x14ac:dyDescent="0.25">
      <c r="A61" s="17" t="s">
        <v>393</v>
      </c>
      <c r="B61" s="5">
        <v>5</v>
      </c>
      <c r="C61" s="18" t="s">
        <v>210</v>
      </c>
      <c r="D61" s="4" t="s">
        <v>142</v>
      </c>
      <c r="E61" s="3" t="s">
        <v>394</v>
      </c>
      <c r="F61" s="4" t="s">
        <v>395</v>
      </c>
      <c r="G61" s="5">
        <v>2</v>
      </c>
      <c r="H61" s="19" t="s">
        <v>246</v>
      </c>
      <c r="I61" s="4" t="s">
        <v>247</v>
      </c>
      <c r="J61" s="4"/>
    </row>
    <row r="62" spans="1:10" ht="39" customHeight="1" x14ac:dyDescent="0.25">
      <c r="A62" s="17" t="s">
        <v>396</v>
      </c>
      <c r="B62" s="5">
        <v>5</v>
      </c>
      <c r="C62" s="18" t="s">
        <v>210</v>
      </c>
      <c r="D62" s="4" t="s">
        <v>142</v>
      </c>
      <c r="E62" s="3" t="s">
        <v>397</v>
      </c>
      <c r="F62" s="4" t="s">
        <v>398</v>
      </c>
      <c r="G62" s="5">
        <v>5</v>
      </c>
      <c r="H62" s="20" t="s">
        <v>266</v>
      </c>
      <c r="I62" s="4" t="s">
        <v>247</v>
      </c>
      <c r="J62" s="4"/>
    </row>
    <row r="63" spans="1:10" ht="39" customHeight="1" x14ac:dyDescent="0.25">
      <c r="A63" s="17" t="s">
        <v>399</v>
      </c>
      <c r="B63" s="5">
        <v>5</v>
      </c>
      <c r="C63" s="18" t="s">
        <v>222</v>
      </c>
      <c r="D63" s="4" t="s">
        <v>142</v>
      </c>
      <c r="E63" s="3" t="s">
        <v>400</v>
      </c>
      <c r="F63" s="4" t="s">
        <v>401</v>
      </c>
      <c r="G63" s="5">
        <v>3</v>
      </c>
      <c r="H63" s="20" t="s">
        <v>266</v>
      </c>
      <c r="I63" s="4" t="s">
        <v>247</v>
      </c>
      <c r="J63" s="4"/>
    </row>
    <row r="64" spans="1:10" ht="21.95" customHeight="1" x14ac:dyDescent="0.25">
      <c r="A64" s="40" t="s">
        <v>402</v>
      </c>
      <c r="B64" s="28"/>
      <c r="C64" s="28"/>
      <c r="D64" s="28"/>
      <c r="E64" s="28"/>
      <c r="F64" s="28"/>
      <c r="G64" s="28"/>
      <c r="H64" s="28"/>
      <c r="I64" s="28"/>
      <c r="J64" s="28"/>
    </row>
    <row r="65" spans="1:10" ht="26.1" customHeight="1" x14ac:dyDescent="0.25">
      <c r="A65" s="41" t="s">
        <v>403</v>
      </c>
      <c r="B65" s="28"/>
      <c r="C65" s="28"/>
      <c r="D65" s="28"/>
      <c r="E65" s="28"/>
      <c r="F65" s="28"/>
      <c r="G65" s="28"/>
      <c r="H65" s="28"/>
      <c r="I65" s="28"/>
      <c r="J65" s="28"/>
    </row>
    <row r="66" spans="1:10" ht="39" customHeight="1" x14ac:dyDescent="0.25">
      <c r="A66" s="17" t="s">
        <v>404</v>
      </c>
      <c r="B66" s="5">
        <v>6</v>
      </c>
      <c r="C66" s="18" t="s">
        <v>210</v>
      </c>
      <c r="D66" s="4" t="s">
        <v>142</v>
      </c>
      <c r="E66" s="3" t="s">
        <v>405</v>
      </c>
      <c r="F66" s="4" t="s">
        <v>406</v>
      </c>
      <c r="G66" s="5">
        <v>3</v>
      </c>
      <c r="H66" s="20" t="s">
        <v>266</v>
      </c>
      <c r="I66" s="4" t="s">
        <v>247</v>
      </c>
      <c r="J66" s="4"/>
    </row>
    <row r="67" spans="1:10" ht="51.95" customHeight="1" x14ac:dyDescent="0.25">
      <c r="A67" s="17" t="s">
        <v>407</v>
      </c>
      <c r="B67" s="5">
        <v>6</v>
      </c>
      <c r="C67" s="18" t="s">
        <v>214</v>
      </c>
      <c r="D67" s="4" t="s">
        <v>142</v>
      </c>
      <c r="E67" s="3" t="s">
        <v>408</v>
      </c>
      <c r="F67" s="4" t="s">
        <v>409</v>
      </c>
      <c r="G67" s="5">
        <v>8</v>
      </c>
      <c r="H67" s="19" t="s">
        <v>246</v>
      </c>
      <c r="I67" s="4" t="s">
        <v>247</v>
      </c>
      <c r="J67" s="4"/>
    </row>
    <row r="68" spans="1:10" ht="39" customHeight="1" x14ac:dyDescent="0.25">
      <c r="A68" s="17" t="s">
        <v>410</v>
      </c>
      <c r="B68" s="5">
        <v>6</v>
      </c>
      <c r="C68" s="18" t="s">
        <v>214</v>
      </c>
      <c r="D68" s="4" t="s">
        <v>142</v>
      </c>
      <c r="E68" s="3" t="s">
        <v>411</v>
      </c>
      <c r="F68" s="4" t="s">
        <v>412</v>
      </c>
      <c r="G68" s="5">
        <v>5</v>
      </c>
      <c r="H68" s="20" t="s">
        <v>266</v>
      </c>
      <c r="I68" s="4" t="s">
        <v>247</v>
      </c>
      <c r="J68" s="4"/>
    </row>
    <row r="69" spans="1:10" ht="39" customHeight="1" x14ac:dyDescent="0.25">
      <c r="A69" s="17" t="s">
        <v>413</v>
      </c>
      <c r="B69" s="5">
        <v>6</v>
      </c>
      <c r="C69" s="18" t="s">
        <v>214</v>
      </c>
      <c r="D69" s="4" t="s">
        <v>142</v>
      </c>
      <c r="E69" s="3" t="s">
        <v>414</v>
      </c>
      <c r="F69" s="4" t="s">
        <v>415</v>
      </c>
      <c r="G69" s="5">
        <v>5</v>
      </c>
      <c r="H69" s="19" t="s">
        <v>246</v>
      </c>
      <c r="I69" s="4" t="s">
        <v>247</v>
      </c>
      <c r="J69" s="4"/>
    </row>
    <row r="70" spans="1:10" ht="51.95" customHeight="1" x14ac:dyDescent="0.25">
      <c r="A70" s="17" t="s">
        <v>416</v>
      </c>
      <c r="B70" s="5">
        <v>6</v>
      </c>
      <c r="C70" s="18" t="s">
        <v>214</v>
      </c>
      <c r="D70" s="4" t="s">
        <v>138</v>
      </c>
      <c r="E70" s="3" t="s">
        <v>417</v>
      </c>
      <c r="F70" s="4" t="s">
        <v>418</v>
      </c>
      <c r="G70" s="5">
        <v>5</v>
      </c>
      <c r="H70" s="19" t="s">
        <v>246</v>
      </c>
      <c r="I70" s="4" t="s">
        <v>247</v>
      </c>
      <c r="J70" s="4"/>
    </row>
    <row r="71" spans="1:10" ht="51.95" customHeight="1" x14ac:dyDescent="0.25">
      <c r="A71" s="17" t="s">
        <v>419</v>
      </c>
      <c r="B71" s="5">
        <v>6</v>
      </c>
      <c r="C71" s="18" t="s">
        <v>214</v>
      </c>
      <c r="D71" s="4" t="s">
        <v>142</v>
      </c>
      <c r="E71" s="3" t="s">
        <v>420</v>
      </c>
      <c r="F71" s="4" t="s">
        <v>421</v>
      </c>
      <c r="G71" s="5">
        <v>3</v>
      </c>
      <c r="H71" s="19" t="s">
        <v>246</v>
      </c>
      <c r="I71" s="4" t="s">
        <v>247</v>
      </c>
      <c r="J71" s="4"/>
    </row>
    <row r="72" spans="1:10" ht="51.95" customHeight="1" x14ac:dyDescent="0.25">
      <c r="A72" s="17" t="s">
        <v>422</v>
      </c>
      <c r="B72" s="5">
        <v>6</v>
      </c>
      <c r="C72" s="18" t="s">
        <v>214</v>
      </c>
      <c r="D72" s="4" t="s">
        <v>154</v>
      </c>
      <c r="E72" s="3" t="s">
        <v>423</v>
      </c>
      <c r="F72" s="4" t="s">
        <v>424</v>
      </c>
      <c r="G72" s="5">
        <v>8</v>
      </c>
      <c r="H72" s="19" t="s">
        <v>246</v>
      </c>
      <c r="I72" s="4" t="s">
        <v>247</v>
      </c>
      <c r="J72" s="4"/>
    </row>
    <row r="73" spans="1:10" ht="51.95" customHeight="1" x14ac:dyDescent="0.25">
      <c r="A73" s="17" t="s">
        <v>425</v>
      </c>
      <c r="B73" s="5">
        <v>6</v>
      </c>
      <c r="C73" s="18" t="s">
        <v>214</v>
      </c>
      <c r="D73" s="4" t="s">
        <v>150</v>
      </c>
      <c r="E73" s="3" t="s">
        <v>426</v>
      </c>
      <c r="F73" s="4" t="s">
        <v>427</v>
      </c>
      <c r="G73" s="5">
        <v>3</v>
      </c>
      <c r="H73" s="19" t="s">
        <v>246</v>
      </c>
      <c r="I73" s="4" t="s">
        <v>247</v>
      </c>
      <c r="J73" s="4"/>
    </row>
    <row r="74" spans="1:10" ht="39" customHeight="1" x14ac:dyDescent="0.25">
      <c r="A74" s="17" t="s">
        <v>428</v>
      </c>
      <c r="B74" s="5">
        <v>6</v>
      </c>
      <c r="C74" s="18" t="s">
        <v>214</v>
      </c>
      <c r="D74" s="4" t="s">
        <v>146</v>
      </c>
      <c r="E74" s="3" t="s">
        <v>429</v>
      </c>
      <c r="F74" s="4" t="s">
        <v>430</v>
      </c>
      <c r="G74" s="5">
        <v>3</v>
      </c>
      <c r="H74" s="20" t="s">
        <v>266</v>
      </c>
      <c r="I74" s="4" t="s">
        <v>247</v>
      </c>
      <c r="J74" s="4"/>
    </row>
    <row r="75" spans="1:10" ht="21.95" customHeight="1" x14ac:dyDescent="0.25">
      <c r="A75" s="40" t="s">
        <v>431</v>
      </c>
      <c r="B75" s="28"/>
      <c r="C75" s="28"/>
      <c r="D75" s="28"/>
      <c r="E75" s="28"/>
      <c r="F75" s="28"/>
      <c r="G75" s="28"/>
      <c r="H75" s="28"/>
      <c r="I75" s="28"/>
      <c r="J75" s="28"/>
    </row>
    <row r="76" spans="1:10" ht="26.1" customHeight="1" x14ac:dyDescent="0.25">
      <c r="A76" s="41" t="s">
        <v>432</v>
      </c>
      <c r="B76" s="28"/>
      <c r="C76" s="28"/>
      <c r="D76" s="28"/>
      <c r="E76" s="28"/>
      <c r="F76" s="28"/>
      <c r="G76" s="28"/>
      <c r="H76" s="28"/>
      <c r="I76" s="28"/>
      <c r="J76" s="28"/>
    </row>
    <row r="77" spans="1:10" ht="39" customHeight="1" x14ac:dyDescent="0.25">
      <c r="A77" s="17" t="s">
        <v>433</v>
      </c>
      <c r="B77" s="5">
        <v>7</v>
      </c>
      <c r="C77" s="18" t="s">
        <v>214</v>
      </c>
      <c r="D77" s="4" t="s">
        <v>150</v>
      </c>
      <c r="E77" s="3" t="s">
        <v>434</v>
      </c>
      <c r="F77" s="4" t="s">
        <v>435</v>
      </c>
      <c r="G77" s="5">
        <v>3</v>
      </c>
      <c r="H77" s="19" t="s">
        <v>246</v>
      </c>
      <c r="I77" s="4" t="s">
        <v>247</v>
      </c>
      <c r="J77" s="4"/>
    </row>
    <row r="78" spans="1:10" ht="39" customHeight="1" x14ac:dyDescent="0.25">
      <c r="A78" s="17" t="s">
        <v>436</v>
      </c>
      <c r="B78" s="5">
        <v>7</v>
      </c>
      <c r="C78" s="18" t="s">
        <v>214</v>
      </c>
      <c r="D78" s="4" t="s">
        <v>150</v>
      </c>
      <c r="E78" s="3" t="s">
        <v>437</v>
      </c>
      <c r="F78" s="4" t="s">
        <v>438</v>
      </c>
      <c r="G78" s="5">
        <v>3</v>
      </c>
      <c r="H78" s="20" t="s">
        <v>266</v>
      </c>
      <c r="I78" s="4" t="s">
        <v>247</v>
      </c>
      <c r="J78" s="4"/>
    </row>
    <row r="79" spans="1:10" ht="51.95" customHeight="1" x14ac:dyDescent="0.25">
      <c r="A79" s="17" t="s">
        <v>439</v>
      </c>
      <c r="B79" s="5">
        <v>7</v>
      </c>
      <c r="C79" s="18" t="s">
        <v>214</v>
      </c>
      <c r="D79" s="4" t="s">
        <v>146</v>
      </c>
      <c r="E79" s="3" t="s">
        <v>440</v>
      </c>
      <c r="F79" s="4" t="s">
        <v>441</v>
      </c>
      <c r="G79" s="5">
        <v>5</v>
      </c>
      <c r="H79" s="19" t="s">
        <v>246</v>
      </c>
      <c r="I79" s="4" t="s">
        <v>247</v>
      </c>
      <c r="J79" s="4"/>
    </row>
    <row r="80" spans="1:10" ht="51.95" customHeight="1" x14ac:dyDescent="0.25">
      <c r="A80" s="17" t="s">
        <v>442</v>
      </c>
      <c r="B80" s="5">
        <v>7</v>
      </c>
      <c r="C80" s="18" t="s">
        <v>218</v>
      </c>
      <c r="D80" s="4" t="s">
        <v>142</v>
      </c>
      <c r="E80" s="3" t="s">
        <v>443</v>
      </c>
      <c r="F80" s="4" t="s">
        <v>444</v>
      </c>
      <c r="G80" s="5">
        <v>8</v>
      </c>
      <c r="H80" s="19" t="s">
        <v>246</v>
      </c>
      <c r="I80" s="4" t="s">
        <v>247</v>
      </c>
      <c r="J80" s="4"/>
    </row>
    <row r="81" spans="1:10" ht="39" customHeight="1" x14ac:dyDescent="0.25">
      <c r="A81" s="17" t="s">
        <v>445</v>
      </c>
      <c r="B81" s="5">
        <v>7</v>
      </c>
      <c r="C81" s="18" t="s">
        <v>218</v>
      </c>
      <c r="D81" s="4" t="s">
        <v>158</v>
      </c>
      <c r="E81" s="3" t="s">
        <v>446</v>
      </c>
      <c r="F81" s="4" t="s">
        <v>447</v>
      </c>
      <c r="G81" s="5">
        <v>5</v>
      </c>
      <c r="H81" s="19" t="s">
        <v>246</v>
      </c>
      <c r="I81" s="4" t="s">
        <v>247</v>
      </c>
      <c r="J81" s="4"/>
    </row>
    <row r="82" spans="1:10" ht="51.95" customHeight="1" x14ac:dyDescent="0.25">
      <c r="A82" s="17" t="s">
        <v>448</v>
      </c>
      <c r="B82" s="5">
        <v>7</v>
      </c>
      <c r="C82" s="18" t="s">
        <v>218</v>
      </c>
      <c r="D82" s="4" t="s">
        <v>138</v>
      </c>
      <c r="E82" s="3" t="s">
        <v>449</v>
      </c>
      <c r="F82" s="4" t="s">
        <v>450</v>
      </c>
      <c r="G82" s="5">
        <v>5</v>
      </c>
      <c r="H82" s="19" t="s">
        <v>246</v>
      </c>
      <c r="I82" s="4" t="s">
        <v>247</v>
      </c>
      <c r="J82" s="4"/>
    </row>
    <row r="83" spans="1:10" ht="39" customHeight="1" x14ac:dyDescent="0.25">
      <c r="A83" s="17" t="s">
        <v>451</v>
      </c>
      <c r="B83" s="5">
        <v>7</v>
      </c>
      <c r="C83" s="18" t="s">
        <v>218</v>
      </c>
      <c r="D83" s="4" t="s">
        <v>142</v>
      </c>
      <c r="E83" s="3" t="s">
        <v>452</v>
      </c>
      <c r="F83" s="4" t="s">
        <v>453</v>
      </c>
      <c r="G83" s="5">
        <v>5</v>
      </c>
      <c r="H83" s="19" t="s">
        <v>246</v>
      </c>
      <c r="I83" s="4" t="s">
        <v>247</v>
      </c>
      <c r="J83" s="4"/>
    </row>
    <row r="84" spans="1:10" ht="51.95" customHeight="1" x14ac:dyDescent="0.25">
      <c r="A84" s="17" t="s">
        <v>454</v>
      </c>
      <c r="B84" s="5">
        <v>7</v>
      </c>
      <c r="C84" s="18" t="s">
        <v>218</v>
      </c>
      <c r="D84" s="4" t="s">
        <v>154</v>
      </c>
      <c r="E84" s="3" t="s">
        <v>455</v>
      </c>
      <c r="F84" s="4" t="s">
        <v>456</v>
      </c>
      <c r="G84" s="5">
        <v>5</v>
      </c>
      <c r="H84" s="19" t="s">
        <v>246</v>
      </c>
      <c r="I84" s="4" t="s">
        <v>247</v>
      </c>
      <c r="J84" s="4"/>
    </row>
    <row r="85" spans="1:10" ht="39" customHeight="1" x14ac:dyDescent="0.25">
      <c r="A85" s="17" t="s">
        <v>457</v>
      </c>
      <c r="B85" s="5">
        <v>7</v>
      </c>
      <c r="C85" s="18" t="s">
        <v>222</v>
      </c>
      <c r="D85" s="4" t="s">
        <v>142</v>
      </c>
      <c r="E85" s="3" t="s">
        <v>458</v>
      </c>
      <c r="F85" s="4" t="s">
        <v>459</v>
      </c>
      <c r="G85" s="5">
        <v>3</v>
      </c>
      <c r="H85" s="20" t="s">
        <v>266</v>
      </c>
      <c r="I85" s="4" t="s">
        <v>247</v>
      </c>
      <c r="J85" s="4"/>
    </row>
    <row r="86" spans="1:10" ht="21.95" customHeight="1" x14ac:dyDescent="0.25">
      <c r="A86" s="40" t="s">
        <v>460</v>
      </c>
      <c r="B86" s="28"/>
      <c r="C86" s="28"/>
      <c r="D86" s="28"/>
      <c r="E86" s="28"/>
      <c r="F86" s="28"/>
      <c r="G86" s="28"/>
      <c r="H86" s="28"/>
      <c r="I86" s="28"/>
      <c r="J86" s="28"/>
    </row>
    <row r="87" spans="1:10" ht="26.1" customHeight="1" x14ac:dyDescent="0.25">
      <c r="A87" s="41" t="s">
        <v>461</v>
      </c>
      <c r="B87" s="28"/>
      <c r="C87" s="28"/>
      <c r="D87" s="28"/>
      <c r="E87" s="28"/>
      <c r="F87" s="28"/>
      <c r="G87" s="28"/>
      <c r="H87" s="28"/>
      <c r="I87" s="28"/>
      <c r="J87" s="28"/>
    </row>
    <row r="88" spans="1:10" ht="51.95" customHeight="1" x14ac:dyDescent="0.25">
      <c r="A88" s="17" t="s">
        <v>462</v>
      </c>
      <c r="B88" s="5">
        <v>8</v>
      </c>
      <c r="C88" s="18" t="s">
        <v>222</v>
      </c>
      <c r="D88" s="4" t="s">
        <v>154</v>
      </c>
      <c r="E88" s="3" t="s">
        <v>463</v>
      </c>
      <c r="F88" s="4" t="s">
        <v>464</v>
      </c>
      <c r="G88" s="5">
        <v>5</v>
      </c>
      <c r="H88" s="19" t="s">
        <v>246</v>
      </c>
      <c r="I88" s="4" t="s">
        <v>247</v>
      </c>
      <c r="J88" s="4"/>
    </row>
    <row r="89" spans="1:10" ht="39" customHeight="1" x14ac:dyDescent="0.25">
      <c r="A89" s="17" t="s">
        <v>465</v>
      </c>
      <c r="B89" s="5">
        <v>8</v>
      </c>
      <c r="C89" s="18" t="s">
        <v>222</v>
      </c>
      <c r="D89" s="4" t="s">
        <v>142</v>
      </c>
      <c r="E89" s="3" t="s">
        <v>466</v>
      </c>
      <c r="F89" s="4" t="s">
        <v>467</v>
      </c>
      <c r="G89" s="5">
        <v>3</v>
      </c>
      <c r="H89" s="19" t="s">
        <v>246</v>
      </c>
      <c r="I89" s="4" t="s">
        <v>247</v>
      </c>
      <c r="J89" s="4"/>
    </row>
    <row r="90" spans="1:10" ht="51.95" customHeight="1" x14ac:dyDescent="0.25">
      <c r="A90" s="17" t="s">
        <v>468</v>
      </c>
      <c r="B90" s="5">
        <v>8</v>
      </c>
      <c r="C90" s="18" t="s">
        <v>222</v>
      </c>
      <c r="D90" s="4" t="s">
        <v>243</v>
      </c>
      <c r="E90" s="3" t="s">
        <v>469</v>
      </c>
      <c r="F90" s="4" t="s">
        <v>470</v>
      </c>
      <c r="G90" s="5">
        <v>5</v>
      </c>
      <c r="H90" s="19" t="s">
        <v>246</v>
      </c>
      <c r="I90" s="4" t="s">
        <v>247</v>
      </c>
      <c r="J90" s="4"/>
    </row>
    <row r="91" spans="1:10" ht="30" customHeight="1" x14ac:dyDescent="0.25">
      <c r="A91" s="17" t="s">
        <v>471</v>
      </c>
      <c r="B91" s="5">
        <v>8</v>
      </c>
      <c r="C91" s="18" t="s">
        <v>222</v>
      </c>
      <c r="D91" s="4" t="s">
        <v>243</v>
      </c>
      <c r="E91" s="3" t="s">
        <v>472</v>
      </c>
      <c r="F91" s="4" t="s">
        <v>473</v>
      </c>
      <c r="G91" s="5">
        <v>3</v>
      </c>
      <c r="H91" s="21" t="s">
        <v>287</v>
      </c>
      <c r="I91" s="4" t="s">
        <v>247</v>
      </c>
      <c r="J91" s="4"/>
    </row>
    <row r="92" spans="1:10" ht="51.95" customHeight="1" x14ac:dyDescent="0.25">
      <c r="A92" s="17" t="s">
        <v>474</v>
      </c>
      <c r="B92" s="5">
        <v>8</v>
      </c>
      <c r="C92" s="18" t="s">
        <v>226</v>
      </c>
      <c r="D92" s="4" t="s">
        <v>154</v>
      </c>
      <c r="E92" s="3" t="s">
        <v>475</v>
      </c>
      <c r="F92" s="4" t="s">
        <v>476</v>
      </c>
      <c r="G92" s="5">
        <v>8</v>
      </c>
      <c r="H92" s="19" t="s">
        <v>246</v>
      </c>
      <c r="I92" s="4" t="s">
        <v>247</v>
      </c>
      <c r="J92" s="4"/>
    </row>
    <row r="93" spans="1:10" ht="39" customHeight="1" x14ac:dyDescent="0.25">
      <c r="A93" s="17" t="s">
        <v>477</v>
      </c>
      <c r="B93" s="5">
        <v>8</v>
      </c>
      <c r="C93" s="18" t="s">
        <v>226</v>
      </c>
      <c r="D93" s="4" t="s">
        <v>146</v>
      </c>
      <c r="E93" s="3" t="s">
        <v>478</v>
      </c>
      <c r="F93" s="4" t="s">
        <v>479</v>
      </c>
      <c r="G93" s="5">
        <v>5</v>
      </c>
      <c r="H93" s="20" t="s">
        <v>266</v>
      </c>
      <c r="I93" s="4" t="s">
        <v>247</v>
      </c>
      <c r="J93" s="4"/>
    </row>
    <row r="94" spans="1:10" ht="39" customHeight="1" x14ac:dyDescent="0.25">
      <c r="A94" s="17" t="s">
        <v>480</v>
      </c>
      <c r="B94" s="5">
        <v>8</v>
      </c>
      <c r="C94" s="18" t="s">
        <v>226</v>
      </c>
      <c r="D94" s="4" t="s">
        <v>154</v>
      </c>
      <c r="E94" s="3" t="s">
        <v>481</v>
      </c>
      <c r="F94" s="4" t="s">
        <v>482</v>
      </c>
      <c r="G94" s="5">
        <v>5</v>
      </c>
      <c r="H94" s="19" t="s">
        <v>246</v>
      </c>
      <c r="I94" s="4" t="s">
        <v>247</v>
      </c>
      <c r="J94" s="4"/>
    </row>
    <row r="95" spans="1:10" ht="51.95" customHeight="1" x14ac:dyDescent="0.25">
      <c r="A95" s="17" t="s">
        <v>483</v>
      </c>
      <c r="B95" s="5">
        <v>8</v>
      </c>
      <c r="C95" s="18" t="s">
        <v>226</v>
      </c>
      <c r="D95" s="4" t="s">
        <v>154</v>
      </c>
      <c r="E95" s="3" t="s">
        <v>484</v>
      </c>
      <c r="F95" s="4" t="s">
        <v>485</v>
      </c>
      <c r="G95" s="5">
        <v>5</v>
      </c>
      <c r="H95" s="20" t="s">
        <v>266</v>
      </c>
      <c r="I95" s="4" t="s">
        <v>247</v>
      </c>
      <c r="J95" s="4"/>
    </row>
    <row r="96" spans="1:10" ht="39" customHeight="1" x14ac:dyDescent="0.25">
      <c r="A96" s="17" t="s">
        <v>486</v>
      </c>
      <c r="B96" s="5">
        <v>8</v>
      </c>
      <c r="C96" s="18" t="s">
        <v>226</v>
      </c>
      <c r="D96" s="4" t="s">
        <v>154</v>
      </c>
      <c r="E96" s="3" t="s">
        <v>487</v>
      </c>
      <c r="F96" s="4" t="s">
        <v>488</v>
      </c>
      <c r="G96" s="5">
        <v>5</v>
      </c>
      <c r="H96" s="20" t="s">
        <v>266</v>
      </c>
      <c r="I96" s="4" t="s">
        <v>247</v>
      </c>
      <c r="J96" s="4"/>
    </row>
    <row r="97" spans="1:10" ht="15.75" x14ac:dyDescent="0.25">
      <c r="A97" s="38" t="s">
        <v>489</v>
      </c>
      <c r="B97" s="39"/>
      <c r="C97" s="39"/>
      <c r="D97" s="39"/>
      <c r="E97" s="39"/>
      <c r="F97" s="39"/>
      <c r="G97" s="14">
        <f>SUM(G5:G96)</f>
        <v>350</v>
      </c>
      <c r="H97" s="13"/>
      <c r="I97" s="13"/>
      <c r="J97" s="13"/>
    </row>
  </sheetData>
  <autoFilter ref="A4:J96" xr:uid="{00000000-0009-0000-0000-000003000000}"/>
  <mergeCells count="19">
    <mergeCell ref="A29:J29"/>
    <mergeCell ref="A52:J52"/>
    <mergeCell ref="A30:J30"/>
    <mergeCell ref="A97:F97"/>
    <mergeCell ref="A64:J64"/>
    <mergeCell ref="A1:J1"/>
    <mergeCell ref="A6:J6"/>
    <mergeCell ref="A87:J87"/>
    <mergeCell ref="A65:J65"/>
    <mergeCell ref="A41:J41"/>
    <mergeCell ref="A75:J75"/>
    <mergeCell ref="A18:J18"/>
    <mergeCell ref="A2:J2"/>
    <mergeCell ref="A86:J86"/>
    <mergeCell ref="A42:J42"/>
    <mergeCell ref="A76:J76"/>
    <mergeCell ref="A5:J5"/>
    <mergeCell ref="A17:J17"/>
    <mergeCell ref="A53:J53"/>
  </mergeCells>
  <dataValidations count="1">
    <dataValidation type="list" allowBlank="1" sqref="I5:I96" xr:uid="{00000000-0002-0000-0300-000000000000}">
      <formula1>"Chưa bắt đầu,Đang làm,Đang review,Hoàn thành,Chuyển sprint sau"</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E4A8F"/>
  </sheetPr>
  <dimension ref="A1:G34"/>
  <sheetViews>
    <sheetView showGridLines="0" workbookViewId="0">
      <pane ySplit="3" topLeftCell="A4" activePane="bottomLeft" state="frozen"/>
      <selection pane="bottomLeft" sqref="A1:G1"/>
    </sheetView>
  </sheetViews>
  <sheetFormatPr defaultRowHeight="15" x14ac:dyDescent="0.25"/>
  <cols>
    <col min="1" max="1" width="9" customWidth="1"/>
    <col min="2" max="2" width="30" customWidth="1"/>
    <col min="3" max="3" width="52" customWidth="1"/>
    <col min="4" max="5" width="10" customWidth="1"/>
    <col min="6" max="7" width="12" customWidth="1"/>
  </cols>
  <sheetData>
    <row r="1" spans="1:7" ht="26.1" customHeight="1" x14ac:dyDescent="0.3">
      <c r="A1" s="34" t="s">
        <v>490</v>
      </c>
      <c r="B1" s="28"/>
      <c r="C1" s="28"/>
      <c r="D1" s="28"/>
      <c r="E1" s="28"/>
      <c r="F1" s="28"/>
      <c r="G1" s="28"/>
    </row>
    <row r="2" spans="1:7" ht="15.75" x14ac:dyDescent="0.25">
      <c r="A2" s="1"/>
      <c r="B2" s="1"/>
      <c r="C2" s="1"/>
      <c r="D2" s="1"/>
      <c r="E2" s="1"/>
      <c r="F2" s="1"/>
      <c r="G2" s="1"/>
    </row>
    <row r="3" spans="1:7" ht="30" customHeight="1" x14ac:dyDescent="0.25">
      <c r="A3" s="2" t="s">
        <v>192</v>
      </c>
      <c r="B3" s="2" t="s">
        <v>491</v>
      </c>
      <c r="C3" s="2" t="s">
        <v>492</v>
      </c>
      <c r="D3" s="2" t="s">
        <v>493</v>
      </c>
      <c r="E3" s="2" t="s">
        <v>190</v>
      </c>
      <c r="F3" s="2" t="s">
        <v>494</v>
      </c>
      <c r="G3" s="2" t="s">
        <v>495</v>
      </c>
    </row>
    <row r="4" spans="1:7" ht="26.1" customHeight="1" x14ac:dyDescent="0.25">
      <c r="A4" s="22">
        <v>1</v>
      </c>
      <c r="B4" s="3" t="s">
        <v>496</v>
      </c>
      <c r="C4" s="4" t="s">
        <v>497</v>
      </c>
      <c r="D4" s="5">
        <v>10</v>
      </c>
      <c r="E4" s="5">
        <v>42</v>
      </c>
      <c r="F4" s="5">
        <v>42</v>
      </c>
      <c r="G4" s="5">
        <v>308</v>
      </c>
    </row>
    <row r="5" spans="1:7" ht="26.1" customHeight="1" x14ac:dyDescent="0.25">
      <c r="A5" s="22">
        <v>2</v>
      </c>
      <c r="B5" s="3" t="s">
        <v>170</v>
      </c>
      <c r="C5" s="4" t="s">
        <v>498</v>
      </c>
      <c r="D5" s="5">
        <v>10</v>
      </c>
      <c r="E5" s="5">
        <v>45</v>
      </c>
      <c r="F5" s="5">
        <v>87</v>
      </c>
      <c r="G5" s="5">
        <v>263</v>
      </c>
    </row>
    <row r="6" spans="1:7" ht="26.1" customHeight="1" x14ac:dyDescent="0.25">
      <c r="A6" s="22">
        <v>3</v>
      </c>
      <c r="B6" s="3" t="s">
        <v>499</v>
      </c>
      <c r="C6" s="4" t="s">
        <v>500</v>
      </c>
      <c r="D6" s="5">
        <v>10</v>
      </c>
      <c r="E6" s="5">
        <v>44</v>
      </c>
      <c r="F6" s="5">
        <v>131</v>
      </c>
      <c r="G6" s="5">
        <v>219</v>
      </c>
    </row>
    <row r="7" spans="1:7" ht="26.1" customHeight="1" x14ac:dyDescent="0.25">
      <c r="A7" s="22">
        <v>4</v>
      </c>
      <c r="B7" s="3" t="s">
        <v>501</v>
      </c>
      <c r="C7" s="4" t="s">
        <v>502</v>
      </c>
      <c r="D7" s="5">
        <v>9</v>
      </c>
      <c r="E7" s="5">
        <v>45</v>
      </c>
      <c r="F7" s="5">
        <v>176</v>
      </c>
      <c r="G7" s="5">
        <v>174</v>
      </c>
    </row>
    <row r="8" spans="1:7" ht="26.1" customHeight="1" x14ac:dyDescent="0.25">
      <c r="A8" s="22">
        <v>5</v>
      </c>
      <c r="B8" s="3" t="s">
        <v>178</v>
      </c>
      <c r="C8" s="4" t="s">
        <v>503</v>
      </c>
      <c r="D8" s="5">
        <v>10</v>
      </c>
      <c r="E8" s="5">
        <v>45</v>
      </c>
      <c r="F8" s="5">
        <v>221</v>
      </c>
      <c r="G8" s="5">
        <v>129</v>
      </c>
    </row>
    <row r="9" spans="1:7" ht="26.1" customHeight="1" x14ac:dyDescent="0.25">
      <c r="A9" s="22">
        <v>6</v>
      </c>
      <c r="B9" s="3" t="s">
        <v>504</v>
      </c>
      <c r="C9" s="4" t="s">
        <v>505</v>
      </c>
      <c r="D9" s="5">
        <v>9</v>
      </c>
      <c r="E9" s="5">
        <v>43</v>
      </c>
      <c r="F9" s="5">
        <v>264</v>
      </c>
      <c r="G9" s="5">
        <v>86</v>
      </c>
    </row>
    <row r="10" spans="1:7" ht="26.1" customHeight="1" x14ac:dyDescent="0.25">
      <c r="A10" s="22">
        <v>7</v>
      </c>
      <c r="B10" s="3" t="s">
        <v>182</v>
      </c>
      <c r="C10" s="4" t="s">
        <v>506</v>
      </c>
      <c r="D10" s="5">
        <v>9</v>
      </c>
      <c r="E10" s="5">
        <v>42</v>
      </c>
      <c r="F10" s="5">
        <v>306</v>
      </c>
      <c r="G10" s="5">
        <v>44</v>
      </c>
    </row>
    <row r="11" spans="1:7" ht="26.1" customHeight="1" x14ac:dyDescent="0.25">
      <c r="A11" s="22">
        <v>8</v>
      </c>
      <c r="B11" s="3" t="s">
        <v>507</v>
      </c>
      <c r="C11" s="4" t="s">
        <v>508</v>
      </c>
      <c r="D11" s="5">
        <v>9</v>
      </c>
      <c r="E11" s="5">
        <v>44</v>
      </c>
      <c r="F11" s="5">
        <v>350</v>
      </c>
      <c r="G11" s="5">
        <v>0</v>
      </c>
    </row>
    <row r="12" spans="1:7" ht="15.75" x14ac:dyDescent="0.25">
      <c r="A12" s="38" t="s">
        <v>230</v>
      </c>
      <c r="B12" s="39"/>
      <c r="C12" s="39"/>
      <c r="D12" s="14">
        <f>SUM(D4:D11)</f>
        <v>76</v>
      </c>
      <c r="E12" s="14">
        <f>SUM(E4:E11)</f>
        <v>350</v>
      </c>
      <c r="F12" s="16"/>
      <c r="G12" s="16"/>
    </row>
    <row r="13" spans="1:7" ht="15.75" x14ac:dyDescent="0.25">
      <c r="A13" s="1"/>
      <c r="B13" s="1"/>
      <c r="C13" s="1"/>
      <c r="D13" s="1"/>
      <c r="E13" s="1"/>
      <c r="F13" s="1"/>
      <c r="G13" s="1"/>
    </row>
    <row r="14" spans="1:7" ht="24" customHeight="1" x14ac:dyDescent="0.25">
      <c r="A14" s="27" t="s">
        <v>509</v>
      </c>
      <c r="B14" s="28"/>
      <c r="C14" s="28"/>
      <c r="D14" s="28"/>
      <c r="E14" s="28"/>
      <c r="F14" s="28"/>
      <c r="G14" s="28"/>
    </row>
    <row r="15" spans="1:7" ht="30" customHeight="1" x14ac:dyDescent="0.25">
      <c r="A15" s="2" t="s">
        <v>27</v>
      </c>
      <c r="B15" s="2" t="s">
        <v>510</v>
      </c>
      <c r="C15" s="2"/>
      <c r="D15" s="2"/>
      <c r="E15" s="2" t="s">
        <v>511</v>
      </c>
      <c r="F15" s="2"/>
      <c r="G15" s="2"/>
    </row>
    <row r="16" spans="1:7" ht="21.95" customHeight="1" x14ac:dyDescent="0.25">
      <c r="A16" s="5">
        <v>1</v>
      </c>
      <c r="B16" s="26" t="s">
        <v>512</v>
      </c>
      <c r="C16" s="24"/>
      <c r="D16" s="24"/>
      <c r="E16" s="25" t="s">
        <v>513</v>
      </c>
      <c r="F16" s="24"/>
      <c r="G16" s="24"/>
    </row>
    <row r="17" spans="1:7" ht="21.95" customHeight="1" x14ac:dyDescent="0.25">
      <c r="A17" s="5">
        <v>2</v>
      </c>
      <c r="B17" s="26" t="s">
        <v>514</v>
      </c>
      <c r="C17" s="24"/>
      <c r="D17" s="24"/>
      <c r="E17" s="25" t="s">
        <v>515</v>
      </c>
      <c r="F17" s="24"/>
      <c r="G17" s="24"/>
    </row>
    <row r="18" spans="1:7" ht="21.95" customHeight="1" x14ac:dyDescent="0.25">
      <c r="A18" s="5">
        <v>3</v>
      </c>
      <c r="B18" s="26" t="s">
        <v>516</v>
      </c>
      <c r="C18" s="24"/>
      <c r="D18" s="24"/>
      <c r="E18" s="25" t="s">
        <v>517</v>
      </c>
      <c r="F18" s="24"/>
      <c r="G18" s="24"/>
    </row>
    <row r="19" spans="1:7" ht="21.95" customHeight="1" x14ac:dyDescent="0.25">
      <c r="A19" s="5">
        <v>4</v>
      </c>
      <c r="B19" s="26" t="s">
        <v>518</v>
      </c>
      <c r="C19" s="24"/>
      <c r="D19" s="24"/>
      <c r="E19" s="25" t="s">
        <v>519</v>
      </c>
      <c r="F19" s="24"/>
      <c r="G19" s="24"/>
    </row>
    <row r="20" spans="1:7" ht="21.95" customHeight="1" x14ac:dyDescent="0.25">
      <c r="A20" s="5">
        <v>5</v>
      </c>
      <c r="B20" s="26" t="s">
        <v>520</v>
      </c>
      <c r="C20" s="24"/>
      <c r="D20" s="24"/>
      <c r="E20" s="25" t="s">
        <v>521</v>
      </c>
      <c r="F20" s="24"/>
      <c r="G20" s="24"/>
    </row>
    <row r="21" spans="1:7" ht="21.95" customHeight="1" x14ac:dyDescent="0.25">
      <c r="A21" s="5">
        <v>6</v>
      </c>
      <c r="B21" s="26" t="s">
        <v>522</v>
      </c>
      <c r="C21" s="24"/>
      <c r="D21" s="24"/>
      <c r="E21" s="25" t="s">
        <v>523</v>
      </c>
      <c r="F21" s="24"/>
      <c r="G21" s="24"/>
    </row>
    <row r="22" spans="1:7" ht="21.95" customHeight="1" x14ac:dyDescent="0.25">
      <c r="A22" s="5">
        <v>7</v>
      </c>
      <c r="B22" s="26"/>
      <c r="C22" s="24"/>
      <c r="D22" s="24"/>
      <c r="E22" s="25" t="s">
        <v>524</v>
      </c>
      <c r="F22" s="24"/>
      <c r="G22" s="24"/>
    </row>
    <row r="23" spans="1:7" ht="21.95" customHeight="1" x14ac:dyDescent="0.25">
      <c r="A23" s="5">
        <v>8</v>
      </c>
      <c r="B23" s="26"/>
      <c r="C23" s="24"/>
      <c r="D23" s="24"/>
      <c r="E23" s="25" t="s">
        <v>525</v>
      </c>
      <c r="F23" s="24"/>
      <c r="G23" s="24"/>
    </row>
    <row r="24" spans="1:7" ht="21.95" customHeight="1" x14ac:dyDescent="0.25">
      <c r="A24" s="5">
        <v>9</v>
      </c>
      <c r="B24" s="26"/>
      <c r="C24" s="24"/>
      <c r="D24" s="24"/>
      <c r="E24" s="25" t="s">
        <v>526</v>
      </c>
      <c r="F24" s="24"/>
      <c r="G24" s="24"/>
    </row>
    <row r="25" spans="1:7" ht="15.75" x14ac:dyDescent="0.25">
      <c r="A25" s="1"/>
      <c r="B25" s="1"/>
      <c r="C25" s="1"/>
      <c r="D25" s="1"/>
      <c r="E25" s="1"/>
      <c r="F25" s="1"/>
      <c r="G25" s="1"/>
    </row>
    <row r="26" spans="1:7" ht="24" customHeight="1" x14ac:dyDescent="0.25">
      <c r="A26" s="27" t="s">
        <v>527</v>
      </c>
      <c r="B26" s="28"/>
      <c r="C26" s="28"/>
      <c r="D26" s="28"/>
      <c r="E26" s="28"/>
      <c r="F26" s="28"/>
      <c r="G26" s="28"/>
    </row>
    <row r="27" spans="1:7" ht="30" customHeight="1" x14ac:dyDescent="0.25">
      <c r="A27" s="2" t="s">
        <v>27</v>
      </c>
      <c r="B27" s="2" t="s">
        <v>528</v>
      </c>
      <c r="C27" s="2" t="s">
        <v>529</v>
      </c>
      <c r="D27" s="2"/>
      <c r="E27" s="2" t="s">
        <v>530</v>
      </c>
      <c r="F27" s="2" t="s">
        <v>531</v>
      </c>
      <c r="G27" s="2"/>
    </row>
    <row r="28" spans="1:7" ht="33.950000000000003" customHeight="1" x14ac:dyDescent="0.25">
      <c r="A28" s="5">
        <v>1</v>
      </c>
      <c r="B28" s="4" t="s">
        <v>532</v>
      </c>
      <c r="C28" s="24" t="s">
        <v>533</v>
      </c>
      <c r="D28" s="24"/>
      <c r="E28" s="19" t="s">
        <v>534</v>
      </c>
      <c r="F28" s="44" t="s">
        <v>534</v>
      </c>
      <c r="G28" s="24"/>
    </row>
    <row r="29" spans="1:7" ht="33.950000000000003" customHeight="1" x14ac:dyDescent="0.25">
      <c r="A29" s="5">
        <v>2</v>
      </c>
      <c r="B29" s="4" t="s">
        <v>535</v>
      </c>
      <c r="C29" s="24" t="s">
        <v>536</v>
      </c>
      <c r="D29" s="24"/>
      <c r="E29" s="19" t="s">
        <v>534</v>
      </c>
      <c r="F29" s="44" t="s">
        <v>534</v>
      </c>
      <c r="G29" s="24"/>
    </row>
    <row r="30" spans="1:7" ht="33.950000000000003" customHeight="1" x14ac:dyDescent="0.25">
      <c r="A30" s="5">
        <v>3</v>
      </c>
      <c r="B30" s="4" t="s">
        <v>537</v>
      </c>
      <c r="C30" s="24" t="s">
        <v>538</v>
      </c>
      <c r="D30" s="24"/>
      <c r="E30" s="19" t="s">
        <v>534</v>
      </c>
      <c r="F30" s="44" t="s">
        <v>534</v>
      </c>
      <c r="G30" s="24"/>
    </row>
    <row r="31" spans="1:7" ht="33.950000000000003" customHeight="1" x14ac:dyDescent="0.25">
      <c r="A31" s="5">
        <v>4</v>
      </c>
      <c r="B31" s="4" t="s">
        <v>539</v>
      </c>
      <c r="C31" s="24" t="s">
        <v>540</v>
      </c>
      <c r="D31" s="24"/>
      <c r="E31" s="19" t="s">
        <v>534</v>
      </c>
      <c r="F31" s="43" t="s">
        <v>541</v>
      </c>
      <c r="G31" s="24"/>
    </row>
    <row r="32" spans="1:7" ht="33.950000000000003" customHeight="1" x14ac:dyDescent="0.25">
      <c r="A32" s="5">
        <v>5</v>
      </c>
      <c r="B32" s="4" t="s">
        <v>542</v>
      </c>
      <c r="C32" s="24" t="s">
        <v>543</v>
      </c>
      <c r="D32" s="24"/>
      <c r="E32" s="19" t="s">
        <v>534</v>
      </c>
      <c r="F32" s="45" t="s">
        <v>544</v>
      </c>
      <c r="G32" s="24"/>
    </row>
    <row r="33" spans="1:7" ht="33.950000000000003" customHeight="1" x14ac:dyDescent="0.25">
      <c r="A33" s="5">
        <v>6</v>
      </c>
      <c r="B33" s="4" t="s">
        <v>545</v>
      </c>
      <c r="C33" s="24" t="s">
        <v>546</v>
      </c>
      <c r="D33" s="24"/>
      <c r="E33" s="20" t="s">
        <v>544</v>
      </c>
      <c r="F33" s="44" t="s">
        <v>534</v>
      </c>
      <c r="G33" s="24"/>
    </row>
    <row r="34" spans="1:7" ht="33.950000000000003" customHeight="1" x14ac:dyDescent="0.25">
      <c r="A34" s="5">
        <v>7</v>
      </c>
      <c r="B34" s="4" t="s">
        <v>547</v>
      </c>
      <c r="C34" s="24" t="s">
        <v>548</v>
      </c>
      <c r="D34" s="24"/>
      <c r="E34" s="21" t="s">
        <v>541</v>
      </c>
      <c r="F34" s="44" t="s">
        <v>534</v>
      </c>
      <c r="G34" s="24"/>
    </row>
  </sheetData>
  <mergeCells count="36">
    <mergeCell ref="C34:D34"/>
    <mergeCell ref="A14:G14"/>
    <mergeCell ref="E19:G19"/>
    <mergeCell ref="C30:D30"/>
    <mergeCell ref="F29:G29"/>
    <mergeCell ref="B23:D23"/>
    <mergeCell ref="C33:D33"/>
    <mergeCell ref="F34:G34"/>
    <mergeCell ref="B17:D17"/>
    <mergeCell ref="A12:C12"/>
    <mergeCell ref="B19:D19"/>
    <mergeCell ref="C29:D29"/>
    <mergeCell ref="F30:G30"/>
    <mergeCell ref="F33:G33"/>
    <mergeCell ref="F32:G32"/>
    <mergeCell ref="C31:D31"/>
    <mergeCell ref="B24:D24"/>
    <mergeCell ref="B20:D20"/>
    <mergeCell ref="E16:G16"/>
    <mergeCell ref="C32:D32"/>
    <mergeCell ref="A1:G1"/>
    <mergeCell ref="E22:G22"/>
    <mergeCell ref="F31:G31"/>
    <mergeCell ref="E18:G18"/>
    <mergeCell ref="F28:G28"/>
    <mergeCell ref="E21:G21"/>
    <mergeCell ref="B16:D16"/>
    <mergeCell ref="E24:G24"/>
    <mergeCell ref="B22:D22"/>
    <mergeCell ref="E23:G23"/>
    <mergeCell ref="B18:D18"/>
    <mergeCell ref="E17:G17"/>
    <mergeCell ref="A26:G26"/>
    <mergeCell ref="C28:D28"/>
    <mergeCell ref="B21:D21"/>
    <mergeCell ref="E20:G20"/>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1. Product Overview</vt:lpstr>
      <vt:lpstr>2. User Roles</vt:lpstr>
      <vt:lpstr>3. Epics</vt:lpstr>
      <vt:lpstr>4. Product Backlog</vt:lpstr>
      <vt:lpstr>5. Sprint Plan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Trường Nguyễn</cp:lastModifiedBy>
  <dcterms:created xsi:type="dcterms:W3CDTF">2026-08-30T05:30:36Z</dcterms:created>
  <dcterms:modified xsi:type="dcterms:W3CDTF">2026-09-22T15:15:23Z</dcterms:modified>
</cp:coreProperties>
</file>